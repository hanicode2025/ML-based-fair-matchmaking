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T.Haneesh\Downloads\"/>
    </mc:Choice>
  </mc:AlternateContent>
  <xr:revisionPtr revIDLastSave="0" documentId="13_ncr:1_{5FE55B9B-C72B-4FB4-80C1-F7896DFE615B}" xr6:coauthVersionLast="45" xr6:coauthVersionMax="45" xr10:uidLastSave="{00000000-0000-0000-0000-000000000000}"/>
  <bookViews>
    <workbookView xWindow="-108" yWindow="-108" windowWidth="23256" windowHeight="13176" tabRatio="500" xr2:uid="{00000000-000D-0000-FFFF-FFFF00000000}"/>
  </bookViews>
  <sheets>
    <sheet name="Players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1" i="1" l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<sst xmlns="http://schemas.openxmlformats.org/spreadsheetml/2006/main" count="426" uniqueCount="227">
  <si>
    <t>PlayerID</t>
  </si>
  <si>
    <t>Name</t>
  </si>
  <si>
    <t>Tier</t>
  </si>
  <si>
    <t>Level</t>
  </si>
  <si>
    <t>K/D Ratio</t>
  </si>
  <si>
    <t>Peer Feedback (1-5)</t>
  </si>
  <si>
    <t>Last Played</t>
  </si>
  <si>
    <t>Best Mode</t>
  </si>
  <si>
    <t>Event Achievements</t>
  </si>
  <si>
    <t>Matches Played</t>
  </si>
  <si>
    <t>Win Rate</t>
  </si>
  <si>
    <t>Online Status</t>
  </si>
  <si>
    <t>ELO Rating</t>
  </si>
  <si>
    <t>BaseELO</t>
  </si>
  <si>
    <t>PLY0001</t>
  </si>
  <si>
    <t>Gaurav Iyer</t>
  </si>
  <si>
    <t>Bronze</t>
  </si>
  <si>
    <t>Unranked</t>
  </si>
  <si>
    <t>PLY0002</t>
  </si>
  <si>
    <t>Vihaan Verma</t>
  </si>
  <si>
    <t>Silver</t>
  </si>
  <si>
    <t>PLY0003</t>
  </si>
  <si>
    <t>Arjun Chauhan</t>
  </si>
  <si>
    <t>Diamond</t>
  </si>
  <si>
    <t>Gold</t>
  </si>
  <si>
    <t>PLY0004</t>
  </si>
  <si>
    <t>Yash Kulkarni</t>
  </si>
  <si>
    <t>Ranked</t>
  </si>
  <si>
    <t>Platinum</t>
  </si>
  <si>
    <t>PLY0005</t>
  </si>
  <si>
    <t>Advait Joshi</t>
  </si>
  <si>
    <t>PLY0006</t>
  </si>
  <si>
    <t>Manish Chatterjee</t>
  </si>
  <si>
    <t>Master</t>
  </si>
  <si>
    <t>PLY0007</t>
  </si>
  <si>
    <t>Naveen Singh</t>
  </si>
  <si>
    <t>PLY0008</t>
  </si>
  <si>
    <t>Meera Reddy</t>
  </si>
  <si>
    <t>Notes:</t>
  </si>
  <si>
    <t>PLY0009</t>
  </si>
  <si>
    <t>Hemant Kapoor</t>
  </si>
  <si>
    <t>Online Status uses Excel RAND() -&gt; recalculates each time (F9).</t>
  </si>
  <si>
    <t>PLY0010</t>
  </si>
  <si>
    <t>Varun Bose</t>
  </si>
  <si>
    <t>Only 'Online' players should be pulled into the matchmaking script.</t>
  </si>
  <si>
    <t>PLY0011</t>
  </si>
  <si>
    <t>Deepak Kapoor</t>
  </si>
  <si>
    <t>ELO Rating = TierBaseELO + Level*4 + KD*60 + (Feedback-3)*30 + WinRate*150 + Achievements*10</t>
  </si>
  <si>
    <t>PLY0012</t>
  </si>
  <si>
    <t>Dev Iyer</t>
  </si>
  <si>
    <t>Data is synthetic, generated for the matchmaking placement project.</t>
  </si>
  <si>
    <t>PLY0013</t>
  </si>
  <si>
    <t>Gaurav Das</t>
  </si>
  <si>
    <t>PLY0014</t>
  </si>
  <si>
    <t>Deepak Chowdhury</t>
  </si>
  <si>
    <t>PLY0015</t>
  </si>
  <si>
    <t>Sai Singh</t>
  </si>
  <si>
    <t>PLY0016</t>
  </si>
  <si>
    <t>Deepak Shetty</t>
  </si>
  <si>
    <t>PLY0017</t>
  </si>
  <si>
    <t>Vikram Iyer</t>
  </si>
  <si>
    <t>PLY0018</t>
  </si>
  <si>
    <t>Karthik Reddy</t>
  </si>
  <si>
    <t>PLY0019</t>
  </si>
  <si>
    <t>Suresh Gupta</t>
  </si>
  <si>
    <t>PLY0020</t>
  </si>
  <si>
    <t>Jatin Chatterjee</t>
  </si>
  <si>
    <t>PLY0021</t>
  </si>
  <si>
    <t>Tanya Menon</t>
  </si>
  <si>
    <t>PLY0022</t>
  </si>
  <si>
    <t>Arjun Verma</t>
  </si>
  <si>
    <t>PLY0023</t>
  </si>
  <si>
    <t>Pooja Kapoor</t>
  </si>
  <si>
    <t>PLY0024</t>
  </si>
  <si>
    <t>Ishaan Reddy</t>
  </si>
  <si>
    <t>PLY0025</t>
  </si>
  <si>
    <t>Karthik Bhat</t>
  </si>
  <si>
    <t>PLY0026</t>
  </si>
  <si>
    <t>Akash Bose</t>
  </si>
  <si>
    <t>PLY0027</t>
  </si>
  <si>
    <t>Karthik Sharma</t>
  </si>
  <si>
    <t>PLY0028</t>
  </si>
  <si>
    <t>Advait Das</t>
  </si>
  <si>
    <t>PLY0029</t>
  </si>
  <si>
    <t>Imran Iyer</t>
  </si>
  <si>
    <t>PLY0030</t>
  </si>
  <si>
    <t>Divya Bhat</t>
  </si>
  <si>
    <t>PLY0031</t>
  </si>
  <si>
    <t>Arjun Chowdhury</t>
  </si>
  <si>
    <t>PLY0032</t>
  </si>
  <si>
    <t>Nikhil Mishra</t>
  </si>
  <si>
    <t>PLY0033</t>
  </si>
  <si>
    <t>Yash Patel</t>
  </si>
  <si>
    <t>PLY0034</t>
  </si>
  <si>
    <t>Ananya Menon</t>
  </si>
  <si>
    <t>PLY0035</t>
  </si>
  <si>
    <t>Kavya Menon</t>
  </si>
  <si>
    <t>PLY0036</t>
  </si>
  <si>
    <t>Meera Sharma</t>
  </si>
  <si>
    <t>PLY0037</t>
  </si>
  <si>
    <t>Dev Sharma</t>
  </si>
  <si>
    <t>PLY0038</t>
  </si>
  <si>
    <t>Tanya Kulkarni</t>
  </si>
  <si>
    <t>PLY0039</t>
  </si>
  <si>
    <t>Jatin Singh</t>
  </si>
  <si>
    <t>PLY0040</t>
  </si>
  <si>
    <t>Aarav Bose</t>
  </si>
  <si>
    <t>PLY0041</t>
  </si>
  <si>
    <t>Priya Kulkarni</t>
  </si>
  <si>
    <t>PLY0042</t>
  </si>
  <si>
    <t>Vikram Kapoor</t>
  </si>
  <si>
    <t>PLY0043</t>
  </si>
  <si>
    <t>Farhan Chowdhury</t>
  </si>
  <si>
    <t>PLY0044</t>
  </si>
  <si>
    <t>Karthik Kapoor</t>
  </si>
  <si>
    <t>PLY0045</t>
  </si>
  <si>
    <t>Rahul Chauhan</t>
  </si>
  <si>
    <t>PLY0046</t>
  </si>
  <si>
    <t>Manish Bhat</t>
  </si>
  <si>
    <t>PLY0047</t>
  </si>
  <si>
    <t>Vikram Menon</t>
  </si>
  <si>
    <t>PLY0048</t>
  </si>
  <si>
    <t>Kavya Kapoor</t>
  </si>
  <si>
    <t>PLY0049</t>
  </si>
  <si>
    <t>Lakshya Patel</t>
  </si>
  <si>
    <t>PLY0050</t>
  </si>
  <si>
    <t>Vihaan Chauhan</t>
  </si>
  <si>
    <t>PLY0051</t>
  </si>
  <si>
    <t>Naveen Kulkarni</t>
  </si>
  <si>
    <t>PLY0052</t>
  </si>
  <si>
    <t>Manish Nair</t>
  </si>
  <si>
    <t>PLY0053</t>
  </si>
  <si>
    <t>Priya Reddy</t>
  </si>
  <si>
    <t>PLY0054</t>
  </si>
  <si>
    <t>Sai Malhotra</t>
  </si>
  <si>
    <t>PLY0055</t>
  </si>
  <si>
    <t>Isha Patel</t>
  </si>
  <si>
    <t>PLY0056</t>
  </si>
  <si>
    <t>Ananya Kulkarni</t>
  </si>
  <si>
    <t>PLY0057</t>
  </si>
  <si>
    <t>Jatin Naidu</t>
  </si>
  <si>
    <t>PLY0058</t>
  </si>
  <si>
    <t>Deepak Iyer</t>
  </si>
  <si>
    <t>PLY0059</t>
  </si>
  <si>
    <t>Ramesh Iyer</t>
  </si>
  <si>
    <t>PLY0060</t>
  </si>
  <si>
    <t>Farhan Mishra</t>
  </si>
  <si>
    <t>PLY0061</t>
  </si>
  <si>
    <t>Isha Chauhan</t>
  </si>
  <si>
    <t>PLY0062</t>
  </si>
  <si>
    <t>Dev Rao</t>
  </si>
  <si>
    <t>PLY0063</t>
  </si>
  <si>
    <t>Isha Yadav</t>
  </si>
  <si>
    <t>PLY0064</t>
  </si>
  <si>
    <t>Advait Malhotra</t>
  </si>
  <si>
    <t>PLY0065</t>
  </si>
  <si>
    <t>Sneha Chowdhury</t>
  </si>
  <si>
    <t>PLY0066</t>
  </si>
  <si>
    <t>Harish Kulkarni</t>
  </si>
  <si>
    <t>PLY0067</t>
  </si>
  <si>
    <t>Rohan Mishra</t>
  </si>
  <si>
    <t>PLY0068</t>
  </si>
  <si>
    <t>Pooja Malhotra</t>
  </si>
  <si>
    <t>PLY0069</t>
  </si>
  <si>
    <t>Sai Gupta</t>
  </si>
  <si>
    <t>PLY0070</t>
  </si>
  <si>
    <t>Tanya Das</t>
  </si>
  <si>
    <t>PLY0071</t>
  </si>
  <si>
    <t>Isha Menon</t>
  </si>
  <si>
    <t>PLY0072</t>
  </si>
  <si>
    <t>Manish Verma</t>
  </si>
  <si>
    <t>PLY0073</t>
  </si>
  <si>
    <t>Nikhil Rao</t>
  </si>
  <si>
    <t>PLY0074</t>
  </si>
  <si>
    <t>Kabir Das</t>
  </si>
  <si>
    <t>PLY0075</t>
  </si>
  <si>
    <t>Meera Bhat</t>
  </si>
  <si>
    <t>PLY0076</t>
  </si>
  <si>
    <t>Suresh Bose</t>
  </si>
  <si>
    <t>PLY0077</t>
  </si>
  <si>
    <t>Ishaan Bhat</t>
  </si>
  <si>
    <t>PLY0078</t>
  </si>
  <si>
    <t>Sai Chowdhury</t>
  </si>
  <si>
    <t>PLY0079</t>
  </si>
  <si>
    <t>Rohan Patel</t>
  </si>
  <si>
    <t>PLY0080</t>
  </si>
  <si>
    <t>Kabir Malhotra</t>
  </si>
  <si>
    <t>PLY0081</t>
  </si>
  <si>
    <t>Manish Iyer</t>
  </si>
  <si>
    <t>PLY0082</t>
  </si>
  <si>
    <t>Manish Mishra</t>
  </si>
  <si>
    <t>PLY0083</t>
  </si>
  <si>
    <t>Dev Bose</t>
  </si>
  <si>
    <t>PLY0084</t>
  </si>
  <si>
    <t>Suresh Pillai</t>
  </si>
  <si>
    <t>PLY0085</t>
  </si>
  <si>
    <t>Simran Reddy</t>
  </si>
  <si>
    <t>PLY0086</t>
  </si>
  <si>
    <t>Aditya Nair</t>
  </si>
  <si>
    <t>PLY0087</t>
  </si>
  <si>
    <t>Simran Chatterjee</t>
  </si>
  <si>
    <t>PLY0088</t>
  </si>
  <si>
    <t>Naveen Naidu</t>
  </si>
  <si>
    <t>PLY0089</t>
  </si>
  <si>
    <t>Meera Singh</t>
  </si>
  <si>
    <t>PLY0090</t>
  </si>
  <si>
    <t>Rohan Das</t>
  </si>
  <si>
    <t>PLY0091</t>
  </si>
  <si>
    <t>Farhan Bhat</t>
  </si>
  <si>
    <t>PLY0092</t>
  </si>
  <si>
    <t>Jatin Mishra</t>
  </si>
  <si>
    <t>PLY0093</t>
  </si>
  <si>
    <t>Sneha Naidu</t>
  </si>
  <si>
    <t>PLY0094</t>
  </si>
  <si>
    <t>Neha Rao</t>
  </si>
  <si>
    <t>PLY0095</t>
  </si>
  <si>
    <t>Meera Kulkarni</t>
  </si>
  <si>
    <t>PLY0096</t>
  </si>
  <si>
    <t>Rahul Chatterjee</t>
  </si>
  <si>
    <t>PLY0097</t>
  </si>
  <si>
    <t>Priya Patel</t>
  </si>
  <si>
    <t>PLY0098</t>
  </si>
  <si>
    <t>Tejas Singh</t>
  </si>
  <si>
    <t>PLY0099</t>
  </si>
  <si>
    <t>Pranav Pillai</t>
  </si>
  <si>
    <t>PLY0100</t>
  </si>
  <si>
    <t>Advait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</si>
</sst>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zoomScaleNormal="100" workbookViewId="0">
      <pane ySplit="1" topLeftCell="A2" activePane="bottomLeft" state="frozen"/>
      <selection pane="bottomLeft" activeCell="P18" sqref="P18"/>
    </sheetView>
  </sheetViews>
  <sheetFormatPr defaultColWidth="8.6640625" defaultRowHeight="14.4" x14ac:dyDescent="0.3"/>
  <cols>
    <col min="1" max="1" width="9.21875" bestFit="1" customWidth="1"/>
    <col min="2" max="2" width="17.21875" bestFit="1" customWidth="1"/>
    <col min="3" max="3" width="8.21875" bestFit="1" customWidth="1"/>
    <col min="4" max="4" width="6.44140625" bestFit="1" customWidth="1"/>
    <col min="5" max="5" width="10" customWidth="1"/>
    <col min="6" max="6" width="15.6640625" bestFit="1" customWidth="1"/>
    <col min="7" max="7" width="12.33203125" bestFit="1" customWidth="1"/>
    <col min="8" max="8" width="8.77734375" bestFit="1" customWidth="1"/>
    <col min="9" max="9" width="15.21875" bestFit="1" customWidth="1"/>
    <col min="10" max="10" width="9.109375" bestFit="1" customWidth="1"/>
    <col min="11" max="11" width="9.6640625" bestFit="1" customWidth="1"/>
    <col min="12" max="12" width="7.33203125" bestFit="1" customWidth="1"/>
    <col min="13" max="13" width="11.88671875" bestFit="1" customWidth="1"/>
    <col min="16" max="16" width="11" customWidth="1"/>
    <col min="17" max="17" width="10" customWidth="1"/>
  </cols>
  <sheetData>
    <row r="1" spans="1:17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2" t="s">
        <v>2</v>
      </c>
      <c r="Q1" s="2" t="s">
        <v>13</v>
      </c>
    </row>
    <row r="2" spans="1:17" x14ac:dyDescent="0.3">
      <c r="A2" s="3" t="s">
        <v>14</v>
      </c>
      <c r="B2" s="4" t="s">
        <v>15</v>
      </c>
      <c r="C2" s="3" t="s">
        <v>16</v>
      </c>
      <c r="D2" s="3">
        <v>5</v>
      </c>
      <c r="E2" s="3">
        <v>0.61</v>
      </c>
      <c r="F2" s="3">
        <v>3.4</v>
      </c>
      <c r="G2" s="5">
        <v>46234</v>
      </c>
      <c r="H2" s="3" t="s">
        <v>17</v>
      </c>
      <c r="I2" s="3">
        <v>0</v>
      </c>
      <c r="J2" s="3">
        <v>52</v>
      </c>
      <c r="K2" s="6">
        <v>0.31</v>
      </c>
      <c r="L2" s="3" t="str">
        <f t="shared" ref="L2:L33" ca="1" si="0">IF(RAND()&lt;0.55,"Online","Offline")</f>
        <v>Offline</v>
      </c>
      <c r="M2" s="7">
        <f t="shared" ref="M2:M33" si="1">INDEX($Q$2:$Q$7,MATCH(C2,$P$2:$P$7,0))+(D2*4)+(E2*60)+((F2-3)*30)+(K2*150)+(I2*10)</f>
        <v>915.1</v>
      </c>
      <c r="P2" s="8" t="s">
        <v>16</v>
      </c>
      <c r="Q2">
        <v>800</v>
      </c>
    </row>
    <row r="3" spans="1:17" x14ac:dyDescent="0.3">
      <c r="A3" s="3" t="s">
        <v>18</v>
      </c>
      <c r="B3" s="4" t="s">
        <v>19</v>
      </c>
      <c r="C3" s="3" t="s">
        <v>20</v>
      </c>
      <c r="D3" s="3">
        <v>26</v>
      </c>
      <c r="E3" s="3">
        <v>0.59</v>
      </c>
      <c r="F3" s="3">
        <v>2.7</v>
      </c>
      <c r="G3" s="5">
        <v>46210</v>
      </c>
      <c r="H3" s="3" t="s">
        <v>17</v>
      </c>
      <c r="I3" s="3">
        <v>0</v>
      </c>
      <c r="J3" s="3">
        <v>304</v>
      </c>
      <c r="K3" s="6">
        <v>0.46</v>
      </c>
      <c r="L3" s="3" t="str">
        <f t="shared" ca="1" si="0"/>
        <v>Online</v>
      </c>
      <c r="M3" s="7">
        <f t="shared" si="1"/>
        <v>1199.4000000000001</v>
      </c>
      <c r="P3" s="8" t="s">
        <v>20</v>
      </c>
      <c r="Q3">
        <v>1000</v>
      </c>
    </row>
    <row r="4" spans="1:17" x14ac:dyDescent="0.3">
      <c r="A4" s="3" t="s">
        <v>21</v>
      </c>
      <c r="B4" s="4" t="s">
        <v>22</v>
      </c>
      <c r="C4" s="3" t="s">
        <v>23</v>
      </c>
      <c r="D4" s="3">
        <v>77</v>
      </c>
      <c r="E4" s="3">
        <v>1.75</v>
      </c>
      <c r="F4" s="3">
        <v>4.3</v>
      </c>
      <c r="G4" s="5">
        <v>46230</v>
      </c>
      <c r="H4" s="3" t="s">
        <v>17</v>
      </c>
      <c r="I4" s="3">
        <v>7</v>
      </c>
      <c r="J4" s="3">
        <v>387</v>
      </c>
      <c r="K4" s="6">
        <v>0.65</v>
      </c>
      <c r="L4" s="3" t="str">
        <f t="shared" ca="1" si="0"/>
        <v>Offline</v>
      </c>
      <c r="M4" s="7">
        <f t="shared" si="1"/>
        <v>2269.5</v>
      </c>
      <c r="P4" s="8" t="s">
        <v>24</v>
      </c>
      <c r="Q4">
        <v>1200</v>
      </c>
    </row>
    <row r="5" spans="1:17" x14ac:dyDescent="0.3">
      <c r="A5" s="3" t="s">
        <v>25</v>
      </c>
      <c r="B5" s="4" t="s">
        <v>26</v>
      </c>
      <c r="C5" s="3" t="s">
        <v>20</v>
      </c>
      <c r="D5" s="3">
        <v>11</v>
      </c>
      <c r="E5" s="3">
        <v>0.89</v>
      </c>
      <c r="F5" s="3">
        <v>2.4</v>
      </c>
      <c r="G5" s="5">
        <v>46189</v>
      </c>
      <c r="H5" s="3" t="s">
        <v>27</v>
      </c>
      <c r="I5" s="3">
        <v>0</v>
      </c>
      <c r="J5" s="3">
        <v>653</v>
      </c>
      <c r="K5" s="6">
        <v>0.35</v>
      </c>
      <c r="L5" s="3" t="str">
        <f t="shared" ca="1" si="0"/>
        <v>Online</v>
      </c>
      <c r="M5" s="7">
        <f t="shared" si="1"/>
        <v>1131.9000000000001</v>
      </c>
      <c r="P5" s="8" t="s">
        <v>28</v>
      </c>
      <c r="Q5">
        <v>1400</v>
      </c>
    </row>
    <row r="6" spans="1:17" x14ac:dyDescent="0.3">
      <c r="A6" s="3" t="s">
        <v>29</v>
      </c>
      <c r="B6" s="4" t="s">
        <v>30</v>
      </c>
      <c r="C6" s="3" t="s">
        <v>20</v>
      </c>
      <c r="D6" s="3">
        <v>12</v>
      </c>
      <c r="E6" s="3">
        <v>1.19</v>
      </c>
      <c r="F6" s="3">
        <v>3.4</v>
      </c>
      <c r="G6" s="5">
        <v>46228</v>
      </c>
      <c r="H6" s="3" t="s">
        <v>27</v>
      </c>
      <c r="I6" s="3">
        <v>1</v>
      </c>
      <c r="J6" s="3">
        <v>304</v>
      </c>
      <c r="K6" s="6">
        <v>0.46</v>
      </c>
      <c r="L6" s="3" t="str">
        <f t="shared" ca="1" si="0"/>
        <v>Online</v>
      </c>
      <c r="M6" s="7">
        <f t="shared" si="1"/>
        <v>1210.4000000000001</v>
      </c>
      <c r="P6" s="8" t="s">
        <v>23</v>
      </c>
      <c r="Q6">
        <v>1650</v>
      </c>
    </row>
    <row r="7" spans="1:17" x14ac:dyDescent="0.3">
      <c r="A7" s="3" t="s">
        <v>31</v>
      </c>
      <c r="B7" s="4" t="s">
        <v>32</v>
      </c>
      <c r="C7" s="3" t="s">
        <v>23</v>
      </c>
      <c r="D7" s="3">
        <v>60</v>
      </c>
      <c r="E7" s="3">
        <v>1.84</v>
      </c>
      <c r="F7" s="3">
        <v>4.3</v>
      </c>
      <c r="G7" s="5">
        <v>46229</v>
      </c>
      <c r="H7" s="3" t="s">
        <v>17</v>
      </c>
      <c r="I7" s="3">
        <v>4</v>
      </c>
      <c r="J7" s="3">
        <v>195</v>
      </c>
      <c r="K7" s="6">
        <v>0.48</v>
      </c>
      <c r="L7" s="3" t="str">
        <f t="shared" ca="1" si="0"/>
        <v>Offline</v>
      </c>
      <c r="M7" s="7">
        <f t="shared" si="1"/>
        <v>2151.4</v>
      </c>
      <c r="P7" s="8" t="s">
        <v>33</v>
      </c>
      <c r="Q7">
        <v>1900</v>
      </c>
    </row>
    <row r="8" spans="1:17" x14ac:dyDescent="0.3">
      <c r="A8" s="3" t="s">
        <v>34</v>
      </c>
      <c r="B8" s="4" t="s">
        <v>35</v>
      </c>
      <c r="C8" s="3" t="s">
        <v>20</v>
      </c>
      <c r="D8" s="3">
        <v>24</v>
      </c>
      <c r="E8" s="3">
        <v>0.2</v>
      </c>
      <c r="F8" s="3">
        <v>4.7</v>
      </c>
      <c r="G8" s="5">
        <v>46214</v>
      </c>
      <c r="H8" s="3" t="s">
        <v>27</v>
      </c>
      <c r="I8" s="3">
        <v>0</v>
      </c>
      <c r="J8" s="3">
        <v>77</v>
      </c>
      <c r="K8" s="6">
        <v>0.23</v>
      </c>
      <c r="L8" s="3" t="str">
        <f t="shared" ca="1" si="0"/>
        <v>Online</v>
      </c>
      <c r="M8" s="7">
        <f t="shared" si="1"/>
        <v>1193.5</v>
      </c>
    </row>
    <row r="9" spans="1:17" x14ac:dyDescent="0.3">
      <c r="A9" s="3" t="s">
        <v>36</v>
      </c>
      <c r="B9" s="4" t="s">
        <v>37</v>
      </c>
      <c r="C9" s="3" t="s">
        <v>23</v>
      </c>
      <c r="D9" s="3">
        <v>67</v>
      </c>
      <c r="E9" s="3">
        <v>1.97</v>
      </c>
      <c r="F9" s="3">
        <v>4.5</v>
      </c>
      <c r="G9" s="5">
        <v>46193</v>
      </c>
      <c r="H9" s="3" t="s">
        <v>17</v>
      </c>
      <c r="I9" s="3">
        <v>4</v>
      </c>
      <c r="J9" s="3">
        <v>425</v>
      </c>
      <c r="K9" s="6">
        <v>0.72</v>
      </c>
      <c r="L9" s="3" t="str">
        <f t="shared" ca="1" si="0"/>
        <v>Online</v>
      </c>
      <c r="M9" s="7">
        <f t="shared" si="1"/>
        <v>2229.1999999999998</v>
      </c>
      <c r="P9" s="2" t="s">
        <v>38</v>
      </c>
    </row>
    <row r="10" spans="1:17" x14ac:dyDescent="0.3">
      <c r="A10" s="3" t="s">
        <v>39</v>
      </c>
      <c r="B10" s="4" t="s">
        <v>40</v>
      </c>
      <c r="C10" s="3" t="s">
        <v>20</v>
      </c>
      <c r="D10" s="3">
        <v>14</v>
      </c>
      <c r="E10" s="3">
        <v>0.96</v>
      </c>
      <c r="F10" s="3">
        <v>4.0999999999999996</v>
      </c>
      <c r="G10" s="5">
        <v>46229</v>
      </c>
      <c r="H10" s="3" t="s">
        <v>27</v>
      </c>
      <c r="I10" s="3">
        <v>3</v>
      </c>
      <c r="J10" s="3">
        <v>244</v>
      </c>
      <c r="K10" s="6">
        <v>0.35</v>
      </c>
      <c r="L10" s="3" t="str">
        <f t="shared" ca="1" si="0"/>
        <v>Offline</v>
      </c>
      <c r="M10" s="7">
        <f t="shared" si="1"/>
        <v>1229.0999999999999</v>
      </c>
      <c r="P10" s="9" t="s">
        <v>41</v>
      </c>
    </row>
    <row r="11" spans="1:17" x14ac:dyDescent="0.3">
      <c r="A11" s="3" t="s">
        <v>42</v>
      </c>
      <c r="B11" s="4" t="s">
        <v>43</v>
      </c>
      <c r="C11" s="3" t="s">
        <v>24</v>
      </c>
      <c r="D11" s="3">
        <v>49</v>
      </c>
      <c r="E11" s="3">
        <v>1.46</v>
      </c>
      <c r="F11" s="3">
        <v>3.6</v>
      </c>
      <c r="G11" s="5">
        <v>46215</v>
      </c>
      <c r="H11" s="3" t="s">
        <v>17</v>
      </c>
      <c r="I11" s="3">
        <v>2</v>
      </c>
      <c r="J11" s="3">
        <v>410</v>
      </c>
      <c r="K11" s="6">
        <v>0.49</v>
      </c>
      <c r="L11" s="3" t="str">
        <f t="shared" ca="1" si="0"/>
        <v>Online</v>
      </c>
      <c r="M11" s="7">
        <f t="shared" si="1"/>
        <v>1595.1</v>
      </c>
      <c r="P11" s="9" t="s">
        <v>44</v>
      </c>
    </row>
    <row r="12" spans="1:17" x14ac:dyDescent="0.3">
      <c r="A12" s="3" t="s">
        <v>45</v>
      </c>
      <c r="B12" s="4" t="s">
        <v>46</v>
      </c>
      <c r="C12" s="3" t="s">
        <v>24</v>
      </c>
      <c r="D12" s="3">
        <v>42</v>
      </c>
      <c r="E12" s="3">
        <v>1.33</v>
      </c>
      <c r="F12" s="3">
        <v>3.4</v>
      </c>
      <c r="G12" s="5">
        <v>46210</v>
      </c>
      <c r="H12" s="3" t="s">
        <v>17</v>
      </c>
      <c r="I12" s="3">
        <v>1</v>
      </c>
      <c r="J12" s="3">
        <v>676</v>
      </c>
      <c r="K12" s="6">
        <v>0.45</v>
      </c>
      <c r="L12" s="3" t="str">
        <f t="shared" ca="1" si="0"/>
        <v>Offline</v>
      </c>
      <c r="M12" s="7">
        <f t="shared" si="1"/>
        <v>1537.3</v>
      </c>
      <c r="P12" s="9" t="s">
        <v>47</v>
      </c>
    </row>
    <row r="13" spans="1:17" x14ac:dyDescent="0.3">
      <c r="A13" s="3" t="s">
        <v>48</v>
      </c>
      <c r="B13" s="4" t="s">
        <v>49</v>
      </c>
      <c r="C13" s="3" t="s">
        <v>20</v>
      </c>
      <c r="D13" s="3">
        <v>15</v>
      </c>
      <c r="E13" s="3">
        <v>0.2</v>
      </c>
      <c r="F13" s="3">
        <v>3.7</v>
      </c>
      <c r="G13" s="5">
        <v>46200</v>
      </c>
      <c r="H13" s="3" t="s">
        <v>27</v>
      </c>
      <c r="I13" s="3">
        <v>0</v>
      </c>
      <c r="J13" s="3">
        <v>128</v>
      </c>
      <c r="K13" s="6">
        <v>0.41</v>
      </c>
      <c r="L13" s="3" t="str">
        <f t="shared" ca="1" si="0"/>
        <v>Online</v>
      </c>
      <c r="M13" s="7">
        <f t="shared" si="1"/>
        <v>1154.5</v>
      </c>
      <c r="P13" s="9" t="s">
        <v>50</v>
      </c>
    </row>
    <row r="14" spans="1:17" x14ac:dyDescent="0.3">
      <c r="A14" s="3" t="s">
        <v>51</v>
      </c>
      <c r="B14" s="4" t="s">
        <v>52</v>
      </c>
      <c r="C14" s="3" t="s">
        <v>23</v>
      </c>
      <c r="D14" s="3">
        <v>71</v>
      </c>
      <c r="E14" s="3">
        <v>1.84</v>
      </c>
      <c r="F14" s="3">
        <v>3.7</v>
      </c>
      <c r="G14" s="5">
        <v>46207</v>
      </c>
      <c r="H14" s="3" t="s">
        <v>27</v>
      </c>
      <c r="I14" s="3">
        <v>6</v>
      </c>
      <c r="J14" s="3">
        <v>20</v>
      </c>
      <c r="K14" s="6">
        <v>0.47</v>
      </c>
      <c r="L14" s="3" t="str">
        <f t="shared" ca="1" si="0"/>
        <v>Online</v>
      </c>
      <c r="M14" s="7">
        <f t="shared" si="1"/>
        <v>2195.9</v>
      </c>
    </row>
    <row r="15" spans="1:17" x14ac:dyDescent="0.3">
      <c r="A15" s="3" t="s">
        <v>53</v>
      </c>
      <c r="B15" s="4" t="s">
        <v>54</v>
      </c>
      <c r="C15" s="3" t="s">
        <v>24</v>
      </c>
      <c r="D15" s="3">
        <v>28</v>
      </c>
      <c r="E15" s="3">
        <v>1.95</v>
      </c>
      <c r="F15" s="3">
        <v>2.9</v>
      </c>
      <c r="G15" s="5">
        <v>46203</v>
      </c>
      <c r="H15" s="3" t="s">
        <v>27</v>
      </c>
      <c r="I15" s="3">
        <v>6</v>
      </c>
      <c r="J15" s="3">
        <v>100</v>
      </c>
      <c r="K15" s="6">
        <v>0.54</v>
      </c>
      <c r="L15" s="3" t="str">
        <f t="shared" ca="1" si="0"/>
        <v>Online</v>
      </c>
      <c r="M15" s="7">
        <f t="shared" si="1"/>
        <v>1567</v>
      </c>
    </row>
    <row r="16" spans="1:17" x14ac:dyDescent="0.3">
      <c r="A16" s="3" t="s">
        <v>55</v>
      </c>
      <c r="B16" s="4" t="s">
        <v>56</v>
      </c>
      <c r="C16" s="3" t="s">
        <v>24</v>
      </c>
      <c r="D16" s="3">
        <v>27</v>
      </c>
      <c r="E16" s="3">
        <v>1.73</v>
      </c>
      <c r="F16" s="3">
        <v>3.4</v>
      </c>
      <c r="G16" s="5">
        <v>46233</v>
      </c>
      <c r="H16" s="3" t="s">
        <v>17</v>
      </c>
      <c r="I16" s="3">
        <v>4</v>
      </c>
      <c r="J16" s="3">
        <v>560</v>
      </c>
      <c r="K16" s="6">
        <v>0.45</v>
      </c>
      <c r="L16" s="3" t="str">
        <f t="shared" ca="1" si="0"/>
        <v>Offline</v>
      </c>
      <c r="M16" s="7">
        <f t="shared" si="1"/>
        <v>1531.3</v>
      </c>
    </row>
    <row r="17" spans="1:13" x14ac:dyDescent="0.3">
      <c r="A17" s="3" t="s">
        <v>57</v>
      </c>
      <c r="B17" s="4" t="s">
        <v>58</v>
      </c>
      <c r="C17" s="3" t="s">
        <v>33</v>
      </c>
      <c r="D17" s="3">
        <v>92</v>
      </c>
      <c r="E17" s="3">
        <v>2.37</v>
      </c>
      <c r="F17" s="3">
        <v>3.2</v>
      </c>
      <c r="G17" s="5">
        <v>46210</v>
      </c>
      <c r="H17" s="3" t="s">
        <v>27</v>
      </c>
      <c r="I17" s="3">
        <v>6</v>
      </c>
      <c r="J17" s="3">
        <v>549</v>
      </c>
      <c r="K17" s="6">
        <v>0.56000000000000005</v>
      </c>
      <c r="L17" s="3" t="str">
        <f t="shared" ca="1" si="0"/>
        <v>Online</v>
      </c>
      <c r="M17" s="7">
        <f t="shared" si="1"/>
        <v>2560.1999999999998</v>
      </c>
    </row>
    <row r="18" spans="1:13" x14ac:dyDescent="0.3">
      <c r="A18" s="3" t="s">
        <v>59</v>
      </c>
      <c r="B18" s="4" t="s">
        <v>60</v>
      </c>
      <c r="C18" s="3" t="s">
        <v>20</v>
      </c>
      <c r="D18" s="3">
        <v>12</v>
      </c>
      <c r="E18" s="3">
        <v>0.7</v>
      </c>
      <c r="F18" s="3">
        <v>4</v>
      </c>
      <c r="G18" s="5">
        <v>46230</v>
      </c>
      <c r="H18" s="3" t="s">
        <v>27</v>
      </c>
      <c r="I18" s="3">
        <v>4</v>
      </c>
      <c r="J18" s="3">
        <v>254</v>
      </c>
      <c r="K18" s="6">
        <v>0.47</v>
      </c>
      <c r="L18" s="3" t="str">
        <f t="shared" ca="1" si="0"/>
        <v>Online</v>
      </c>
      <c r="M18" s="7">
        <f t="shared" si="1"/>
        <v>1230.5</v>
      </c>
    </row>
    <row r="19" spans="1:13" x14ac:dyDescent="0.3">
      <c r="A19" s="3" t="s">
        <v>61</v>
      </c>
      <c r="B19" s="4" t="s">
        <v>62</v>
      </c>
      <c r="C19" s="3" t="s">
        <v>23</v>
      </c>
      <c r="D19" s="3">
        <v>57</v>
      </c>
      <c r="E19" s="3">
        <v>1.72</v>
      </c>
      <c r="F19" s="3">
        <v>3.9</v>
      </c>
      <c r="G19" s="5">
        <v>46221</v>
      </c>
      <c r="H19" s="3" t="s">
        <v>27</v>
      </c>
      <c r="I19" s="3">
        <v>5</v>
      </c>
      <c r="J19" s="3">
        <v>610</v>
      </c>
      <c r="K19" s="6">
        <v>0.39</v>
      </c>
      <c r="L19" s="3" t="str">
        <f t="shared" ca="1" si="0"/>
        <v>Online</v>
      </c>
      <c r="M19" s="7">
        <f t="shared" si="1"/>
        <v>2116.6999999999998</v>
      </c>
    </row>
    <row r="20" spans="1:13" x14ac:dyDescent="0.3">
      <c r="A20" s="3" t="s">
        <v>63</v>
      </c>
      <c r="B20" s="4" t="s">
        <v>64</v>
      </c>
      <c r="C20" s="3" t="s">
        <v>23</v>
      </c>
      <c r="D20" s="3">
        <v>80</v>
      </c>
      <c r="E20" s="3">
        <v>1.87</v>
      </c>
      <c r="F20" s="3">
        <v>4.2</v>
      </c>
      <c r="G20" s="5">
        <v>46213</v>
      </c>
      <c r="H20" s="3" t="s">
        <v>27</v>
      </c>
      <c r="I20" s="3">
        <v>2</v>
      </c>
      <c r="J20" s="3">
        <v>75</v>
      </c>
      <c r="K20" s="6">
        <v>0.7</v>
      </c>
      <c r="L20" s="3" t="str">
        <f t="shared" ca="1" si="0"/>
        <v>Offline</v>
      </c>
      <c r="M20" s="7">
        <f t="shared" si="1"/>
        <v>2243.1999999999998</v>
      </c>
    </row>
    <row r="21" spans="1:13" x14ac:dyDescent="0.3">
      <c r="A21" s="3" t="s">
        <v>65</v>
      </c>
      <c r="B21" s="4" t="s">
        <v>66</v>
      </c>
      <c r="C21" s="3" t="s">
        <v>33</v>
      </c>
      <c r="D21" s="3">
        <v>78</v>
      </c>
      <c r="E21" s="3">
        <v>2.87</v>
      </c>
      <c r="F21" s="3">
        <v>4.7</v>
      </c>
      <c r="G21" s="5">
        <v>46205</v>
      </c>
      <c r="H21" s="3" t="s">
        <v>27</v>
      </c>
      <c r="I21" s="3">
        <v>8</v>
      </c>
      <c r="J21" s="3">
        <v>163</v>
      </c>
      <c r="K21" s="6">
        <v>0.77</v>
      </c>
      <c r="L21" s="3" t="str">
        <f t="shared" ca="1" si="0"/>
        <v>Offline</v>
      </c>
      <c r="M21" s="7">
        <f t="shared" si="1"/>
        <v>2630.7</v>
      </c>
    </row>
    <row r="22" spans="1:13" x14ac:dyDescent="0.3">
      <c r="A22" s="3" t="s">
        <v>67</v>
      </c>
      <c r="B22" s="4" t="s">
        <v>68</v>
      </c>
      <c r="C22" s="3" t="s">
        <v>20</v>
      </c>
      <c r="D22" s="3">
        <v>17</v>
      </c>
      <c r="E22" s="3">
        <v>1.05</v>
      </c>
      <c r="F22" s="3">
        <v>3.1</v>
      </c>
      <c r="G22" s="5">
        <v>46205</v>
      </c>
      <c r="H22" s="3" t="s">
        <v>17</v>
      </c>
      <c r="I22" s="3">
        <v>3</v>
      </c>
      <c r="J22" s="3">
        <v>573</v>
      </c>
      <c r="K22" s="6">
        <v>0.49</v>
      </c>
      <c r="L22" s="3" t="str">
        <f t="shared" ca="1" si="0"/>
        <v>Online</v>
      </c>
      <c r="M22" s="7">
        <f t="shared" si="1"/>
        <v>1237.5</v>
      </c>
    </row>
    <row r="23" spans="1:13" x14ac:dyDescent="0.3">
      <c r="A23" s="3" t="s">
        <v>69</v>
      </c>
      <c r="B23" s="4" t="s">
        <v>70</v>
      </c>
      <c r="C23" s="3" t="s">
        <v>33</v>
      </c>
      <c r="D23" s="3">
        <v>82</v>
      </c>
      <c r="E23" s="3">
        <v>2.5499999999999998</v>
      </c>
      <c r="F23" s="3">
        <v>4.9000000000000004</v>
      </c>
      <c r="G23" s="5">
        <v>46230</v>
      </c>
      <c r="H23" s="3" t="s">
        <v>27</v>
      </c>
      <c r="I23" s="3">
        <v>9</v>
      </c>
      <c r="J23" s="3">
        <v>419</v>
      </c>
      <c r="K23" s="6">
        <v>0.69</v>
      </c>
      <c r="L23" s="3" t="str">
        <f t="shared" ca="1" si="0"/>
        <v>Online</v>
      </c>
      <c r="M23" s="7">
        <f t="shared" si="1"/>
        <v>2631.5</v>
      </c>
    </row>
    <row r="24" spans="1:13" x14ac:dyDescent="0.3">
      <c r="A24" s="3" t="s">
        <v>71</v>
      </c>
      <c r="B24" s="4" t="s">
        <v>72</v>
      </c>
      <c r="C24" s="3" t="s">
        <v>20</v>
      </c>
      <c r="D24" s="3">
        <v>27</v>
      </c>
      <c r="E24" s="3">
        <v>0.74</v>
      </c>
      <c r="F24" s="3">
        <v>2.6</v>
      </c>
      <c r="G24" s="5">
        <v>46231</v>
      </c>
      <c r="H24" s="3" t="s">
        <v>27</v>
      </c>
      <c r="I24" s="3">
        <v>4</v>
      </c>
      <c r="J24" s="3">
        <v>82</v>
      </c>
      <c r="K24" s="6">
        <v>0.47</v>
      </c>
      <c r="L24" s="3" t="str">
        <f t="shared" ca="1" si="0"/>
        <v>Offline</v>
      </c>
      <c r="M24" s="7">
        <f t="shared" si="1"/>
        <v>1250.9000000000001</v>
      </c>
    </row>
    <row r="25" spans="1:13" x14ac:dyDescent="0.3">
      <c r="A25" s="3" t="s">
        <v>73</v>
      </c>
      <c r="B25" s="4" t="s">
        <v>74</v>
      </c>
      <c r="C25" s="3" t="s">
        <v>16</v>
      </c>
      <c r="D25" s="3">
        <v>8</v>
      </c>
      <c r="E25" s="3">
        <v>0.2</v>
      </c>
      <c r="F25" s="3">
        <v>3</v>
      </c>
      <c r="G25" s="5">
        <v>46232</v>
      </c>
      <c r="H25" s="3" t="s">
        <v>17</v>
      </c>
      <c r="I25" s="3">
        <v>1</v>
      </c>
      <c r="J25" s="3">
        <v>629</v>
      </c>
      <c r="K25" s="6">
        <v>0.38</v>
      </c>
      <c r="L25" s="3" t="str">
        <f t="shared" ca="1" si="0"/>
        <v>Online</v>
      </c>
      <c r="M25" s="7">
        <f t="shared" si="1"/>
        <v>911</v>
      </c>
    </row>
    <row r="26" spans="1:13" x14ac:dyDescent="0.3">
      <c r="A26" s="3" t="s">
        <v>75</v>
      </c>
      <c r="B26" s="4" t="s">
        <v>76</v>
      </c>
      <c r="C26" s="3" t="s">
        <v>23</v>
      </c>
      <c r="D26" s="3">
        <v>67</v>
      </c>
      <c r="E26" s="3">
        <v>2.54</v>
      </c>
      <c r="F26" s="3">
        <v>5</v>
      </c>
      <c r="G26" s="5">
        <v>46229</v>
      </c>
      <c r="H26" s="3" t="s">
        <v>27</v>
      </c>
      <c r="I26" s="3">
        <v>4</v>
      </c>
      <c r="J26" s="3">
        <v>617</v>
      </c>
      <c r="K26" s="6">
        <v>0.52</v>
      </c>
      <c r="L26" s="3" t="str">
        <f t="shared" ca="1" si="0"/>
        <v>Offline</v>
      </c>
      <c r="M26" s="7">
        <f t="shared" si="1"/>
        <v>2248.4</v>
      </c>
    </row>
    <row r="27" spans="1:13" x14ac:dyDescent="0.3">
      <c r="A27" s="3" t="s">
        <v>77</v>
      </c>
      <c r="B27" s="4" t="s">
        <v>78</v>
      </c>
      <c r="C27" s="3" t="s">
        <v>24</v>
      </c>
      <c r="D27" s="3">
        <v>33</v>
      </c>
      <c r="E27" s="3">
        <v>1.46</v>
      </c>
      <c r="F27" s="3">
        <v>4.5999999999999996</v>
      </c>
      <c r="G27" s="5">
        <v>46230</v>
      </c>
      <c r="H27" s="3" t="s">
        <v>27</v>
      </c>
      <c r="I27" s="3">
        <v>2</v>
      </c>
      <c r="J27" s="3">
        <v>343</v>
      </c>
      <c r="K27" s="6">
        <v>0.4</v>
      </c>
      <c r="L27" s="3" t="str">
        <f t="shared" ca="1" si="0"/>
        <v>Online</v>
      </c>
      <c r="M27" s="7">
        <f t="shared" si="1"/>
        <v>1547.6</v>
      </c>
    </row>
    <row r="28" spans="1:13" x14ac:dyDescent="0.3">
      <c r="A28" s="3" t="s">
        <v>79</v>
      </c>
      <c r="B28" s="4" t="s">
        <v>80</v>
      </c>
      <c r="C28" s="3" t="s">
        <v>24</v>
      </c>
      <c r="D28" s="3">
        <v>43</v>
      </c>
      <c r="E28" s="3">
        <v>1.44</v>
      </c>
      <c r="F28" s="3">
        <v>3.5</v>
      </c>
      <c r="G28" s="5">
        <v>46230</v>
      </c>
      <c r="H28" s="3" t="s">
        <v>27</v>
      </c>
      <c r="I28" s="3">
        <v>6</v>
      </c>
      <c r="J28" s="3">
        <v>270</v>
      </c>
      <c r="K28" s="6">
        <v>0.39</v>
      </c>
      <c r="L28" s="3" t="str">
        <f t="shared" ca="1" si="0"/>
        <v>Offline</v>
      </c>
      <c r="M28" s="7">
        <f t="shared" si="1"/>
        <v>1591.9</v>
      </c>
    </row>
    <row r="29" spans="1:13" x14ac:dyDescent="0.3">
      <c r="A29" s="3" t="s">
        <v>81</v>
      </c>
      <c r="B29" s="4" t="s">
        <v>82</v>
      </c>
      <c r="C29" s="3" t="s">
        <v>20</v>
      </c>
      <c r="D29" s="3">
        <v>27</v>
      </c>
      <c r="E29" s="3">
        <v>0.81</v>
      </c>
      <c r="F29" s="3">
        <v>2.2999999999999998</v>
      </c>
      <c r="G29" s="5">
        <v>46186</v>
      </c>
      <c r="H29" s="3" t="s">
        <v>17</v>
      </c>
      <c r="I29" s="3">
        <v>5</v>
      </c>
      <c r="J29" s="3">
        <v>326</v>
      </c>
      <c r="K29" s="6">
        <v>0.42</v>
      </c>
      <c r="L29" s="3" t="str">
        <f t="shared" ca="1" si="0"/>
        <v>Offline</v>
      </c>
      <c r="M29" s="7">
        <f t="shared" si="1"/>
        <v>1248.5999999999999</v>
      </c>
    </row>
    <row r="30" spans="1:13" x14ac:dyDescent="0.3">
      <c r="A30" s="3" t="s">
        <v>83</v>
      </c>
      <c r="B30" s="4" t="s">
        <v>84</v>
      </c>
      <c r="C30" s="3" t="s">
        <v>33</v>
      </c>
      <c r="D30" s="3">
        <v>79</v>
      </c>
      <c r="E30" s="3">
        <v>2.2799999999999998</v>
      </c>
      <c r="F30" s="3">
        <v>5</v>
      </c>
      <c r="G30" s="5">
        <v>46209</v>
      </c>
      <c r="H30" s="3" t="s">
        <v>27</v>
      </c>
      <c r="I30" s="3">
        <v>7</v>
      </c>
      <c r="J30" s="3">
        <v>371</v>
      </c>
      <c r="K30" s="6">
        <v>0.72</v>
      </c>
      <c r="L30" s="3" t="str">
        <f t="shared" ca="1" si="0"/>
        <v>Online</v>
      </c>
      <c r="M30" s="7">
        <f t="shared" si="1"/>
        <v>2590.8000000000002</v>
      </c>
    </row>
    <row r="31" spans="1:13" x14ac:dyDescent="0.3">
      <c r="A31" s="3" t="s">
        <v>85</v>
      </c>
      <c r="B31" s="4" t="s">
        <v>86</v>
      </c>
      <c r="C31" s="3" t="s">
        <v>28</v>
      </c>
      <c r="D31" s="3">
        <v>48</v>
      </c>
      <c r="E31" s="3">
        <v>1.38</v>
      </c>
      <c r="F31" s="3">
        <v>3.7</v>
      </c>
      <c r="G31" s="5">
        <v>46197</v>
      </c>
      <c r="H31" s="3" t="s">
        <v>27</v>
      </c>
      <c r="I31" s="3">
        <v>2</v>
      </c>
      <c r="J31" s="3">
        <v>65</v>
      </c>
      <c r="K31" s="6">
        <v>0.39</v>
      </c>
      <c r="L31" s="3" t="str">
        <f t="shared" ca="1" si="0"/>
        <v>Online</v>
      </c>
      <c r="M31" s="7">
        <f t="shared" si="1"/>
        <v>1774.3</v>
      </c>
    </row>
    <row r="32" spans="1:13" x14ac:dyDescent="0.3">
      <c r="A32" s="3" t="s">
        <v>87</v>
      </c>
      <c r="B32" s="4" t="s">
        <v>88</v>
      </c>
      <c r="C32" s="3" t="s">
        <v>23</v>
      </c>
      <c r="D32" s="3">
        <v>75</v>
      </c>
      <c r="E32" s="3">
        <v>2.21</v>
      </c>
      <c r="F32" s="3">
        <v>3.9</v>
      </c>
      <c r="G32" s="5">
        <v>46222</v>
      </c>
      <c r="H32" s="3" t="s">
        <v>17</v>
      </c>
      <c r="I32" s="3">
        <v>5</v>
      </c>
      <c r="J32" s="3">
        <v>727</v>
      </c>
      <c r="K32" s="6">
        <v>0.56999999999999995</v>
      </c>
      <c r="L32" s="3" t="str">
        <f t="shared" ca="1" si="0"/>
        <v>Offline</v>
      </c>
      <c r="M32" s="7">
        <f t="shared" si="1"/>
        <v>2245.1</v>
      </c>
    </row>
    <row r="33" spans="1:13" x14ac:dyDescent="0.3">
      <c r="A33" s="3" t="s">
        <v>89</v>
      </c>
      <c r="B33" s="4" t="s">
        <v>90</v>
      </c>
      <c r="C33" s="3" t="s">
        <v>16</v>
      </c>
      <c r="D33" s="3">
        <v>6</v>
      </c>
      <c r="E33" s="3">
        <v>0.43</v>
      </c>
      <c r="F33" s="3">
        <v>2.8</v>
      </c>
      <c r="G33" s="5">
        <v>46233</v>
      </c>
      <c r="H33" s="3" t="s">
        <v>27</v>
      </c>
      <c r="I33" s="3">
        <v>2</v>
      </c>
      <c r="J33" s="3">
        <v>60</v>
      </c>
      <c r="K33" s="6">
        <v>0.24</v>
      </c>
      <c r="L33" s="3" t="str">
        <f t="shared" ca="1" si="0"/>
        <v>Offline</v>
      </c>
      <c r="M33" s="7">
        <f t="shared" si="1"/>
        <v>899.8</v>
      </c>
    </row>
    <row r="34" spans="1:13" x14ac:dyDescent="0.3">
      <c r="A34" s="3" t="s">
        <v>91</v>
      </c>
      <c r="B34" s="4" t="s">
        <v>92</v>
      </c>
      <c r="C34" s="3" t="s">
        <v>28</v>
      </c>
      <c r="D34" s="3">
        <v>61</v>
      </c>
      <c r="E34" s="3">
        <v>2.14</v>
      </c>
      <c r="F34" s="3">
        <v>4.5</v>
      </c>
      <c r="G34" s="5">
        <v>46199</v>
      </c>
      <c r="H34" s="3" t="s">
        <v>27</v>
      </c>
      <c r="I34" s="3">
        <v>3</v>
      </c>
      <c r="J34" s="3">
        <v>262</v>
      </c>
      <c r="K34" s="6">
        <v>0.49</v>
      </c>
      <c r="L34" s="3" t="str">
        <f t="shared" ref="L34:L65" ca="1" si="2">IF(RAND()&lt;0.55,"Online","Offline")</f>
        <v>Online</v>
      </c>
      <c r="M34" s="7">
        <f t="shared" ref="M34:M65" si="3">INDEX($Q$2:$Q$7,MATCH(C34,$P$2:$P$7,0))+(D34*4)+(E34*60)+((F34-3)*30)+(K34*150)+(I34*10)</f>
        <v>1920.9</v>
      </c>
    </row>
    <row r="35" spans="1:13" x14ac:dyDescent="0.3">
      <c r="A35" s="3" t="s">
        <v>93</v>
      </c>
      <c r="B35" s="4" t="s">
        <v>94</v>
      </c>
      <c r="C35" s="3" t="s">
        <v>23</v>
      </c>
      <c r="D35" s="3">
        <v>55</v>
      </c>
      <c r="E35" s="3">
        <v>2.34</v>
      </c>
      <c r="F35" s="3">
        <v>5</v>
      </c>
      <c r="G35" s="5">
        <v>46206</v>
      </c>
      <c r="H35" s="3" t="s">
        <v>27</v>
      </c>
      <c r="I35" s="3">
        <v>4</v>
      </c>
      <c r="J35" s="3">
        <v>274</v>
      </c>
      <c r="K35" s="6">
        <v>0.45</v>
      </c>
      <c r="L35" s="3" t="str">
        <f t="shared" ca="1" si="2"/>
        <v>Online</v>
      </c>
      <c r="M35" s="7">
        <f t="shared" si="3"/>
        <v>2177.9</v>
      </c>
    </row>
    <row r="36" spans="1:13" x14ac:dyDescent="0.3">
      <c r="A36" s="3" t="s">
        <v>95</v>
      </c>
      <c r="B36" s="4" t="s">
        <v>96</v>
      </c>
      <c r="C36" s="3" t="s">
        <v>23</v>
      </c>
      <c r="D36" s="3">
        <v>58</v>
      </c>
      <c r="E36" s="3">
        <v>1.93</v>
      </c>
      <c r="F36" s="3">
        <v>4.0999999999999996</v>
      </c>
      <c r="G36" s="5">
        <v>46221</v>
      </c>
      <c r="H36" s="3" t="s">
        <v>27</v>
      </c>
      <c r="I36" s="3">
        <v>7</v>
      </c>
      <c r="J36" s="3">
        <v>253</v>
      </c>
      <c r="K36" s="6">
        <v>0.54</v>
      </c>
      <c r="L36" s="3" t="str">
        <f t="shared" ca="1" si="2"/>
        <v>Online</v>
      </c>
      <c r="M36" s="7">
        <f t="shared" si="3"/>
        <v>2181.8000000000002</v>
      </c>
    </row>
    <row r="37" spans="1:13" x14ac:dyDescent="0.3">
      <c r="A37" s="3" t="s">
        <v>97</v>
      </c>
      <c r="B37" s="4" t="s">
        <v>98</v>
      </c>
      <c r="C37" s="3" t="s">
        <v>28</v>
      </c>
      <c r="D37" s="3">
        <v>52</v>
      </c>
      <c r="E37" s="3">
        <v>1.32</v>
      </c>
      <c r="F37" s="3">
        <v>5</v>
      </c>
      <c r="G37" s="5">
        <v>46190</v>
      </c>
      <c r="H37" s="3" t="s">
        <v>27</v>
      </c>
      <c r="I37" s="3">
        <v>3</v>
      </c>
      <c r="J37" s="3">
        <v>569</v>
      </c>
      <c r="K37" s="6">
        <v>0.45</v>
      </c>
      <c r="L37" s="3" t="str">
        <f t="shared" ca="1" si="2"/>
        <v>Offline</v>
      </c>
      <c r="M37" s="7">
        <f t="shared" si="3"/>
        <v>1844.7</v>
      </c>
    </row>
    <row r="38" spans="1:13" x14ac:dyDescent="0.3">
      <c r="A38" s="3" t="s">
        <v>99</v>
      </c>
      <c r="B38" s="4" t="s">
        <v>100</v>
      </c>
      <c r="C38" s="3" t="s">
        <v>20</v>
      </c>
      <c r="D38" s="3">
        <v>18</v>
      </c>
      <c r="E38" s="3">
        <v>1.34</v>
      </c>
      <c r="F38" s="3">
        <v>4.9000000000000004</v>
      </c>
      <c r="G38" s="5">
        <v>46229</v>
      </c>
      <c r="H38" s="3" t="s">
        <v>27</v>
      </c>
      <c r="I38" s="3">
        <v>0</v>
      </c>
      <c r="J38" s="3">
        <v>341</v>
      </c>
      <c r="K38" s="6">
        <v>0.47</v>
      </c>
      <c r="L38" s="3" t="str">
        <f t="shared" ca="1" si="2"/>
        <v>Online</v>
      </c>
      <c r="M38" s="7">
        <f t="shared" si="3"/>
        <v>1279.9000000000001</v>
      </c>
    </row>
    <row r="39" spans="1:13" x14ac:dyDescent="0.3">
      <c r="A39" s="3" t="s">
        <v>101</v>
      </c>
      <c r="B39" s="4" t="s">
        <v>102</v>
      </c>
      <c r="C39" s="3" t="s">
        <v>33</v>
      </c>
      <c r="D39" s="3">
        <v>78</v>
      </c>
      <c r="E39" s="3">
        <v>2.0099999999999998</v>
      </c>
      <c r="F39" s="3">
        <v>4.9000000000000004</v>
      </c>
      <c r="G39" s="5">
        <v>46229</v>
      </c>
      <c r="H39" s="3" t="s">
        <v>17</v>
      </c>
      <c r="I39" s="3">
        <v>12</v>
      </c>
      <c r="J39" s="3">
        <v>571</v>
      </c>
      <c r="K39" s="6">
        <v>0.65</v>
      </c>
      <c r="L39" s="3" t="str">
        <f t="shared" ca="1" si="2"/>
        <v>Online</v>
      </c>
      <c r="M39" s="7">
        <f t="shared" si="3"/>
        <v>2607.1</v>
      </c>
    </row>
    <row r="40" spans="1:13" x14ac:dyDescent="0.3">
      <c r="A40" s="3" t="s">
        <v>103</v>
      </c>
      <c r="B40" s="4" t="s">
        <v>104</v>
      </c>
      <c r="C40" s="3" t="s">
        <v>33</v>
      </c>
      <c r="D40" s="3">
        <v>98</v>
      </c>
      <c r="E40" s="3">
        <v>2.19</v>
      </c>
      <c r="F40" s="3">
        <v>3.7</v>
      </c>
      <c r="G40" s="5">
        <v>46235</v>
      </c>
      <c r="H40" s="3" t="s">
        <v>17</v>
      </c>
      <c r="I40" s="3">
        <v>6</v>
      </c>
      <c r="J40" s="3">
        <v>147</v>
      </c>
      <c r="K40" s="6">
        <v>0.73</v>
      </c>
      <c r="L40" s="3" t="str">
        <f t="shared" ca="1" si="2"/>
        <v>Online</v>
      </c>
      <c r="M40" s="7">
        <f t="shared" si="3"/>
        <v>2613.9</v>
      </c>
    </row>
    <row r="41" spans="1:13" x14ac:dyDescent="0.3">
      <c r="A41" s="3" t="s">
        <v>105</v>
      </c>
      <c r="B41" s="4" t="s">
        <v>106</v>
      </c>
      <c r="C41" s="3" t="s">
        <v>24</v>
      </c>
      <c r="D41" s="3">
        <v>38</v>
      </c>
      <c r="E41" s="3">
        <v>1.05</v>
      </c>
      <c r="F41" s="3">
        <v>4.5</v>
      </c>
      <c r="G41" s="5">
        <v>46218</v>
      </c>
      <c r="H41" s="3" t="s">
        <v>27</v>
      </c>
      <c r="I41" s="3">
        <v>2</v>
      </c>
      <c r="J41" s="3">
        <v>786</v>
      </c>
      <c r="K41" s="6">
        <v>0.39</v>
      </c>
      <c r="L41" s="3" t="str">
        <f t="shared" ca="1" si="2"/>
        <v>Online</v>
      </c>
      <c r="M41" s="7">
        <f t="shared" si="3"/>
        <v>1538.5</v>
      </c>
    </row>
    <row r="42" spans="1:13" x14ac:dyDescent="0.3">
      <c r="A42" s="3" t="s">
        <v>107</v>
      </c>
      <c r="B42" s="4" t="s">
        <v>108</v>
      </c>
      <c r="C42" s="3" t="s">
        <v>28</v>
      </c>
      <c r="D42" s="3">
        <v>52</v>
      </c>
      <c r="E42" s="3">
        <v>1.64</v>
      </c>
      <c r="F42" s="3">
        <v>3.7</v>
      </c>
      <c r="G42" s="5">
        <v>46228</v>
      </c>
      <c r="H42" s="3" t="s">
        <v>27</v>
      </c>
      <c r="I42" s="3">
        <v>1</v>
      </c>
      <c r="J42" s="3">
        <v>496</v>
      </c>
      <c r="K42" s="6">
        <v>0.46</v>
      </c>
      <c r="L42" s="3" t="str">
        <f t="shared" ca="1" si="2"/>
        <v>Online</v>
      </c>
      <c r="M42" s="7">
        <f t="shared" si="3"/>
        <v>1806.4</v>
      </c>
    </row>
    <row r="43" spans="1:13" x14ac:dyDescent="0.3">
      <c r="A43" s="3" t="s">
        <v>109</v>
      </c>
      <c r="B43" s="4" t="s">
        <v>110</v>
      </c>
      <c r="C43" s="3" t="s">
        <v>28</v>
      </c>
      <c r="D43" s="3">
        <v>56</v>
      </c>
      <c r="E43" s="3">
        <v>0.91</v>
      </c>
      <c r="F43" s="3">
        <v>4</v>
      </c>
      <c r="G43" s="5">
        <v>46205</v>
      </c>
      <c r="H43" s="3" t="s">
        <v>27</v>
      </c>
      <c r="I43" s="3">
        <v>6</v>
      </c>
      <c r="J43" s="3">
        <v>668</v>
      </c>
      <c r="K43" s="6">
        <v>0.59</v>
      </c>
      <c r="L43" s="3" t="str">
        <f t="shared" ca="1" si="2"/>
        <v>Online</v>
      </c>
      <c r="M43" s="7">
        <f t="shared" si="3"/>
        <v>1857.1</v>
      </c>
    </row>
    <row r="44" spans="1:13" x14ac:dyDescent="0.3">
      <c r="A44" s="3" t="s">
        <v>111</v>
      </c>
      <c r="B44" s="4" t="s">
        <v>112</v>
      </c>
      <c r="C44" s="3" t="s">
        <v>16</v>
      </c>
      <c r="D44" s="3">
        <v>13</v>
      </c>
      <c r="E44" s="3">
        <v>0.63</v>
      </c>
      <c r="F44" s="3">
        <v>3.6</v>
      </c>
      <c r="G44" s="5">
        <v>46205</v>
      </c>
      <c r="H44" s="3" t="s">
        <v>27</v>
      </c>
      <c r="I44" s="3">
        <v>5</v>
      </c>
      <c r="J44" s="3">
        <v>645</v>
      </c>
      <c r="K44" s="6">
        <v>0.43</v>
      </c>
      <c r="L44" s="3" t="str">
        <f t="shared" ca="1" si="2"/>
        <v>Online</v>
      </c>
      <c r="M44" s="7">
        <f t="shared" si="3"/>
        <v>1022.3</v>
      </c>
    </row>
    <row r="45" spans="1:13" x14ac:dyDescent="0.3">
      <c r="A45" s="3" t="s">
        <v>113</v>
      </c>
      <c r="B45" s="4" t="s">
        <v>114</v>
      </c>
      <c r="C45" s="3" t="s">
        <v>24</v>
      </c>
      <c r="D45" s="3">
        <v>45</v>
      </c>
      <c r="E45" s="3">
        <v>0.8</v>
      </c>
      <c r="F45" s="3">
        <v>3</v>
      </c>
      <c r="G45" s="5">
        <v>46225</v>
      </c>
      <c r="H45" s="3" t="s">
        <v>27</v>
      </c>
      <c r="I45" s="3">
        <v>4</v>
      </c>
      <c r="J45" s="3">
        <v>788</v>
      </c>
      <c r="K45" s="6">
        <v>0.59</v>
      </c>
      <c r="L45" s="3" t="str">
        <f t="shared" ca="1" si="2"/>
        <v>Online</v>
      </c>
      <c r="M45" s="7">
        <f t="shared" si="3"/>
        <v>1556.5</v>
      </c>
    </row>
    <row r="46" spans="1:13" x14ac:dyDescent="0.3">
      <c r="A46" s="3" t="s">
        <v>115</v>
      </c>
      <c r="B46" s="4" t="s">
        <v>116</v>
      </c>
      <c r="C46" s="3" t="s">
        <v>24</v>
      </c>
      <c r="D46" s="3">
        <v>30</v>
      </c>
      <c r="E46" s="3">
        <v>1.48</v>
      </c>
      <c r="F46" s="3">
        <v>2.5</v>
      </c>
      <c r="G46" s="5">
        <v>46222</v>
      </c>
      <c r="H46" s="3" t="s">
        <v>27</v>
      </c>
      <c r="I46" s="3">
        <v>3</v>
      </c>
      <c r="J46" s="3">
        <v>156</v>
      </c>
      <c r="K46" s="6">
        <v>0.44</v>
      </c>
      <c r="L46" s="3" t="str">
        <f t="shared" ca="1" si="2"/>
        <v>Offline</v>
      </c>
      <c r="M46" s="7">
        <f t="shared" si="3"/>
        <v>1489.8</v>
      </c>
    </row>
    <row r="47" spans="1:13" x14ac:dyDescent="0.3">
      <c r="A47" s="3" t="s">
        <v>117</v>
      </c>
      <c r="B47" s="4" t="s">
        <v>118</v>
      </c>
      <c r="C47" s="3" t="s">
        <v>24</v>
      </c>
      <c r="D47" s="3">
        <v>42</v>
      </c>
      <c r="E47" s="3">
        <v>0.59</v>
      </c>
      <c r="F47" s="3">
        <v>2.5</v>
      </c>
      <c r="G47" s="5">
        <v>46198</v>
      </c>
      <c r="H47" s="3" t="s">
        <v>27</v>
      </c>
      <c r="I47" s="3">
        <v>2</v>
      </c>
      <c r="J47" s="3">
        <v>581</v>
      </c>
      <c r="K47" s="6">
        <v>0.35</v>
      </c>
      <c r="L47" s="3" t="str">
        <f t="shared" ca="1" si="2"/>
        <v>Online</v>
      </c>
      <c r="M47" s="7">
        <f t="shared" si="3"/>
        <v>1460.9</v>
      </c>
    </row>
    <row r="48" spans="1:13" x14ac:dyDescent="0.3">
      <c r="A48" s="3" t="s">
        <v>119</v>
      </c>
      <c r="B48" s="4" t="s">
        <v>120</v>
      </c>
      <c r="C48" s="3" t="s">
        <v>28</v>
      </c>
      <c r="D48" s="3">
        <v>55</v>
      </c>
      <c r="E48" s="3">
        <v>1.0900000000000001</v>
      </c>
      <c r="F48" s="3">
        <v>4.0999999999999996</v>
      </c>
      <c r="G48" s="5">
        <v>46202</v>
      </c>
      <c r="H48" s="3" t="s">
        <v>27</v>
      </c>
      <c r="I48" s="3">
        <v>4</v>
      </c>
      <c r="J48" s="3">
        <v>264</v>
      </c>
      <c r="K48" s="6">
        <v>0.42</v>
      </c>
      <c r="L48" s="3" t="str">
        <f t="shared" ca="1" si="2"/>
        <v>Offline</v>
      </c>
      <c r="M48" s="7">
        <f t="shared" si="3"/>
        <v>1821.4</v>
      </c>
    </row>
    <row r="49" spans="1:13" x14ac:dyDescent="0.3">
      <c r="A49" s="3" t="s">
        <v>121</v>
      </c>
      <c r="B49" s="4" t="s">
        <v>122</v>
      </c>
      <c r="C49" s="3" t="s">
        <v>16</v>
      </c>
      <c r="D49" s="3">
        <v>5</v>
      </c>
      <c r="E49" s="3">
        <v>0.63</v>
      </c>
      <c r="F49" s="3">
        <v>3.6</v>
      </c>
      <c r="G49" s="5">
        <v>46198</v>
      </c>
      <c r="H49" s="3" t="s">
        <v>27</v>
      </c>
      <c r="I49" s="3">
        <v>1</v>
      </c>
      <c r="J49" s="3">
        <v>176</v>
      </c>
      <c r="K49" s="6">
        <v>0.43</v>
      </c>
      <c r="L49" s="3" t="str">
        <f t="shared" ca="1" si="2"/>
        <v>Offline</v>
      </c>
      <c r="M49" s="7">
        <f t="shared" si="3"/>
        <v>950.3</v>
      </c>
    </row>
    <row r="50" spans="1:13" x14ac:dyDescent="0.3">
      <c r="A50" s="3" t="s">
        <v>123</v>
      </c>
      <c r="B50" s="4" t="s">
        <v>124</v>
      </c>
      <c r="C50" s="3" t="s">
        <v>16</v>
      </c>
      <c r="D50" s="3">
        <v>7</v>
      </c>
      <c r="E50" s="3">
        <v>0.41</v>
      </c>
      <c r="F50" s="3">
        <v>3.7</v>
      </c>
      <c r="G50" s="5">
        <v>46235</v>
      </c>
      <c r="H50" s="3" t="s">
        <v>17</v>
      </c>
      <c r="I50" s="3">
        <v>0</v>
      </c>
      <c r="J50" s="3">
        <v>732</v>
      </c>
      <c r="K50" s="6">
        <v>0.46</v>
      </c>
      <c r="L50" s="3" t="str">
        <f t="shared" ca="1" si="2"/>
        <v>Online</v>
      </c>
      <c r="M50" s="7">
        <f t="shared" si="3"/>
        <v>942.6</v>
      </c>
    </row>
    <row r="51" spans="1:13" x14ac:dyDescent="0.3">
      <c r="A51" s="3" t="s">
        <v>125</v>
      </c>
      <c r="B51" s="4" t="s">
        <v>126</v>
      </c>
      <c r="C51" s="3" t="s">
        <v>28</v>
      </c>
      <c r="D51" s="3">
        <v>55</v>
      </c>
      <c r="E51" s="3">
        <v>1.98</v>
      </c>
      <c r="F51" s="3">
        <v>3.8</v>
      </c>
      <c r="G51" s="5">
        <v>46208</v>
      </c>
      <c r="H51" s="3" t="s">
        <v>17</v>
      </c>
      <c r="I51" s="3">
        <v>6</v>
      </c>
      <c r="J51" s="3">
        <v>785</v>
      </c>
      <c r="K51" s="6">
        <v>0.5</v>
      </c>
      <c r="L51" s="3" t="str">
        <f t="shared" ca="1" si="2"/>
        <v>Online</v>
      </c>
      <c r="M51" s="7">
        <f t="shared" si="3"/>
        <v>1897.8</v>
      </c>
    </row>
    <row r="52" spans="1:13" x14ac:dyDescent="0.3">
      <c r="A52" s="3" t="s">
        <v>127</v>
      </c>
      <c r="B52" s="4" t="s">
        <v>128</v>
      </c>
      <c r="C52" s="3" t="s">
        <v>23</v>
      </c>
      <c r="D52" s="3">
        <v>70</v>
      </c>
      <c r="E52" s="3">
        <v>2.0699999999999998</v>
      </c>
      <c r="F52" s="3">
        <v>4.7</v>
      </c>
      <c r="G52" s="5">
        <v>46237</v>
      </c>
      <c r="H52" s="3" t="s">
        <v>27</v>
      </c>
      <c r="I52" s="3">
        <v>5</v>
      </c>
      <c r="J52" s="3">
        <v>189</v>
      </c>
      <c r="K52" s="6">
        <v>0.5</v>
      </c>
      <c r="L52" s="3" t="str">
        <f t="shared" ca="1" si="2"/>
        <v>Online</v>
      </c>
      <c r="M52" s="7">
        <f t="shared" si="3"/>
        <v>2230.1999999999998</v>
      </c>
    </row>
    <row r="53" spans="1:13" x14ac:dyDescent="0.3">
      <c r="A53" s="3" t="s">
        <v>129</v>
      </c>
      <c r="B53" s="4" t="s">
        <v>130</v>
      </c>
      <c r="C53" s="3" t="s">
        <v>33</v>
      </c>
      <c r="D53" s="3">
        <v>92</v>
      </c>
      <c r="E53" s="3">
        <v>2.7</v>
      </c>
      <c r="F53" s="3">
        <v>4.4000000000000004</v>
      </c>
      <c r="G53" s="5">
        <v>46217</v>
      </c>
      <c r="H53" s="3" t="s">
        <v>27</v>
      </c>
      <c r="I53" s="3">
        <v>6</v>
      </c>
      <c r="J53" s="3">
        <v>492</v>
      </c>
      <c r="K53" s="6">
        <v>0.61</v>
      </c>
      <c r="L53" s="3" t="str">
        <f t="shared" ca="1" si="2"/>
        <v>Offline</v>
      </c>
      <c r="M53" s="7">
        <f t="shared" si="3"/>
        <v>2623.5</v>
      </c>
    </row>
    <row r="54" spans="1:13" x14ac:dyDescent="0.3">
      <c r="A54" s="3" t="s">
        <v>131</v>
      </c>
      <c r="B54" s="4" t="s">
        <v>132</v>
      </c>
      <c r="C54" s="3" t="s">
        <v>20</v>
      </c>
      <c r="D54" s="3">
        <v>20</v>
      </c>
      <c r="E54" s="3">
        <v>1.02</v>
      </c>
      <c r="F54" s="3">
        <v>3.9</v>
      </c>
      <c r="G54" s="5">
        <v>46208</v>
      </c>
      <c r="H54" s="3" t="s">
        <v>27</v>
      </c>
      <c r="I54" s="3">
        <v>1</v>
      </c>
      <c r="J54" s="3">
        <v>278</v>
      </c>
      <c r="K54" s="6">
        <v>0.22</v>
      </c>
      <c r="L54" s="3" t="str">
        <f t="shared" ca="1" si="2"/>
        <v>Online</v>
      </c>
      <c r="M54" s="7">
        <f t="shared" si="3"/>
        <v>1211.2</v>
      </c>
    </row>
    <row r="55" spans="1:13" x14ac:dyDescent="0.3">
      <c r="A55" s="3" t="s">
        <v>133</v>
      </c>
      <c r="B55" s="4" t="s">
        <v>134</v>
      </c>
      <c r="C55" s="3" t="s">
        <v>16</v>
      </c>
      <c r="D55" s="3">
        <v>9</v>
      </c>
      <c r="E55" s="3">
        <v>1.42</v>
      </c>
      <c r="F55" s="3">
        <v>3.6</v>
      </c>
      <c r="G55" s="5">
        <v>46230</v>
      </c>
      <c r="H55" s="3" t="s">
        <v>27</v>
      </c>
      <c r="I55" s="3">
        <v>0</v>
      </c>
      <c r="J55" s="3">
        <v>51</v>
      </c>
      <c r="K55" s="6">
        <v>0.34</v>
      </c>
      <c r="L55" s="3" t="str">
        <f t="shared" ca="1" si="2"/>
        <v>Online</v>
      </c>
      <c r="M55" s="7">
        <f t="shared" si="3"/>
        <v>990.2</v>
      </c>
    </row>
    <row r="56" spans="1:13" x14ac:dyDescent="0.3">
      <c r="A56" s="3" t="s">
        <v>135</v>
      </c>
      <c r="B56" s="4" t="s">
        <v>136</v>
      </c>
      <c r="C56" s="3" t="s">
        <v>23</v>
      </c>
      <c r="D56" s="3">
        <v>74</v>
      </c>
      <c r="E56" s="3">
        <v>2.1</v>
      </c>
      <c r="F56" s="3">
        <v>4.3</v>
      </c>
      <c r="G56" s="5">
        <v>46213</v>
      </c>
      <c r="H56" s="3" t="s">
        <v>27</v>
      </c>
      <c r="I56" s="3">
        <v>6</v>
      </c>
      <c r="J56" s="3">
        <v>397</v>
      </c>
      <c r="K56" s="6">
        <v>0.74</v>
      </c>
      <c r="L56" s="3" t="str">
        <f t="shared" ca="1" si="2"/>
        <v>Offline</v>
      </c>
      <c r="M56" s="7">
        <f t="shared" si="3"/>
        <v>2282</v>
      </c>
    </row>
    <row r="57" spans="1:13" x14ac:dyDescent="0.3">
      <c r="A57" s="3" t="s">
        <v>137</v>
      </c>
      <c r="B57" s="4" t="s">
        <v>138</v>
      </c>
      <c r="C57" s="3" t="s">
        <v>28</v>
      </c>
      <c r="D57" s="3">
        <v>63</v>
      </c>
      <c r="E57" s="3">
        <v>1.53</v>
      </c>
      <c r="F57" s="3">
        <v>2.6</v>
      </c>
      <c r="G57" s="5">
        <v>46232</v>
      </c>
      <c r="H57" s="3" t="s">
        <v>27</v>
      </c>
      <c r="I57" s="3">
        <v>0</v>
      </c>
      <c r="J57" s="3">
        <v>609</v>
      </c>
      <c r="K57" s="6">
        <v>0.42</v>
      </c>
      <c r="L57" s="3" t="str">
        <f t="shared" ca="1" si="2"/>
        <v>Online</v>
      </c>
      <c r="M57" s="7">
        <f t="shared" si="3"/>
        <v>1794.8</v>
      </c>
    </row>
    <row r="58" spans="1:13" x14ac:dyDescent="0.3">
      <c r="A58" s="3" t="s">
        <v>139</v>
      </c>
      <c r="B58" s="4" t="s">
        <v>140</v>
      </c>
      <c r="C58" s="3" t="s">
        <v>24</v>
      </c>
      <c r="D58" s="3">
        <v>47</v>
      </c>
      <c r="E58" s="3">
        <v>1.45</v>
      </c>
      <c r="F58" s="3">
        <v>4.4000000000000004</v>
      </c>
      <c r="G58" s="5">
        <v>46203</v>
      </c>
      <c r="H58" s="3" t="s">
        <v>27</v>
      </c>
      <c r="I58" s="3">
        <v>2</v>
      </c>
      <c r="J58" s="3">
        <v>720</v>
      </c>
      <c r="K58" s="6">
        <v>0.39</v>
      </c>
      <c r="L58" s="3" t="str">
        <f t="shared" ca="1" si="2"/>
        <v>Offline</v>
      </c>
      <c r="M58" s="7">
        <f t="shared" si="3"/>
        <v>1595.5</v>
      </c>
    </row>
    <row r="59" spans="1:13" x14ac:dyDescent="0.3">
      <c r="A59" s="3" t="s">
        <v>141</v>
      </c>
      <c r="B59" s="4" t="s">
        <v>142</v>
      </c>
      <c r="C59" s="3" t="s">
        <v>23</v>
      </c>
      <c r="D59" s="3">
        <v>73</v>
      </c>
      <c r="E59" s="3">
        <v>2.0699999999999998</v>
      </c>
      <c r="F59" s="3">
        <v>3.4</v>
      </c>
      <c r="G59" s="5">
        <v>46223</v>
      </c>
      <c r="H59" s="3" t="s">
        <v>27</v>
      </c>
      <c r="I59" s="3">
        <v>4</v>
      </c>
      <c r="J59" s="3">
        <v>450</v>
      </c>
      <c r="K59" s="6">
        <v>0.59</v>
      </c>
      <c r="L59" s="3" t="str">
        <f t="shared" ca="1" si="2"/>
        <v>Online</v>
      </c>
      <c r="M59" s="7">
        <f t="shared" si="3"/>
        <v>2206.6999999999998</v>
      </c>
    </row>
    <row r="60" spans="1:13" x14ac:dyDescent="0.3">
      <c r="A60" s="3" t="s">
        <v>143</v>
      </c>
      <c r="B60" s="4" t="s">
        <v>144</v>
      </c>
      <c r="C60" s="3" t="s">
        <v>24</v>
      </c>
      <c r="D60" s="3">
        <v>36</v>
      </c>
      <c r="E60" s="3">
        <v>0.87</v>
      </c>
      <c r="F60" s="3">
        <v>2.5</v>
      </c>
      <c r="G60" s="5">
        <v>46211</v>
      </c>
      <c r="H60" s="3" t="s">
        <v>27</v>
      </c>
      <c r="I60" s="3">
        <v>2</v>
      </c>
      <c r="J60" s="3">
        <v>296</v>
      </c>
      <c r="K60" s="6">
        <v>0.21</v>
      </c>
      <c r="L60" s="3" t="str">
        <f t="shared" ca="1" si="2"/>
        <v>Online</v>
      </c>
      <c r="M60" s="7">
        <f t="shared" si="3"/>
        <v>1432.7</v>
      </c>
    </row>
    <row r="61" spans="1:13" x14ac:dyDescent="0.3">
      <c r="A61" s="3" t="s">
        <v>145</v>
      </c>
      <c r="B61" s="4" t="s">
        <v>146</v>
      </c>
      <c r="C61" s="3" t="s">
        <v>23</v>
      </c>
      <c r="D61" s="3">
        <v>69</v>
      </c>
      <c r="E61" s="3">
        <v>1.48</v>
      </c>
      <c r="F61" s="3">
        <v>4.4000000000000004</v>
      </c>
      <c r="G61" s="5">
        <v>46229</v>
      </c>
      <c r="H61" s="3" t="s">
        <v>17</v>
      </c>
      <c r="I61" s="3">
        <v>6</v>
      </c>
      <c r="J61" s="3">
        <v>481</v>
      </c>
      <c r="K61" s="6">
        <v>0.55000000000000004</v>
      </c>
      <c r="L61" s="3" t="str">
        <f t="shared" ca="1" si="2"/>
        <v>Offline</v>
      </c>
      <c r="M61" s="7">
        <f t="shared" si="3"/>
        <v>2199.3000000000002</v>
      </c>
    </row>
    <row r="62" spans="1:13" x14ac:dyDescent="0.3">
      <c r="A62" s="3" t="s">
        <v>147</v>
      </c>
      <c r="B62" s="4" t="s">
        <v>148</v>
      </c>
      <c r="C62" s="3" t="s">
        <v>24</v>
      </c>
      <c r="D62" s="3">
        <v>44</v>
      </c>
      <c r="E62" s="3">
        <v>1.1399999999999999</v>
      </c>
      <c r="F62" s="3">
        <v>2.9</v>
      </c>
      <c r="G62" s="5">
        <v>46220</v>
      </c>
      <c r="H62" s="3" t="s">
        <v>27</v>
      </c>
      <c r="I62" s="3">
        <v>1</v>
      </c>
      <c r="J62" s="3">
        <v>284</v>
      </c>
      <c r="K62" s="6">
        <v>0.48</v>
      </c>
      <c r="L62" s="3" t="str">
        <f t="shared" ca="1" si="2"/>
        <v>Online</v>
      </c>
      <c r="M62" s="7">
        <f t="shared" si="3"/>
        <v>1523.4</v>
      </c>
    </row>
    <row r="63" spans="1:13" x14ac:dyDescent="0.3">
      <c r="A63" s="3" t="s">
        <v>149</v>
      </c>
      <c r="B63" s="4" t="s">
        <v>150</v>
      </c>
      <c r="C63" s="3" t="s">
        <v>23</v>
      </c>
      <c r="D63" s="3">
        <v>77</v>
      </c>
      <c r="E63" s="3">
        <v>2.33</v>
      </c>
      <c r="F63" s="3">
        <v>3.4</v>
      </c>
      <c r="G63" s="5">
        <v>46219</v>
      </c>
      <c r="H63" s="3" t="s">
        <v>27</v>
      </c>
      <c r="I63" s="3">
        <v>6</v>
      </c>
      <c r="J63" s="3">
        <v>588</v>
      </c>
      <c r="K63" s="6">
        <v>0.69</v>
      </c>
      <c r="L63" s="3" t="str">
        <f t="shared" ca="1" si="2"/>
        <v>Online</v>
      </c>
      <c r="M63" s="7">
        <f t="shared" si="3"/>
        <v>2273.3000000000002</v>
      </c>
    </row>
    <row r="64" spans="1:13" x14ac:dyDescent="0.3">
      <c r="A64" s="3" t="s">
        <v>151</v>
      </c>
      <c r="B64" s="4" t="s">
        <v>152</v>
      </c>
      <c r="C64" s="3" t="s">
        <v>24</v>
      </c>
      <c r="D64" s="3">
        <v>47</v>
      </c>
      <c r="E64" s="3">
        <v>0.68</v>
      </c>
      <c r="F64" s="3">
        <v>3.6</v>
      </c>
      <c r="G64" s="5">
        <v>46234</v>
      </c>
      <c r="H64" s="3" t="s">
        <v>27</v>
      </c>
      <c r="I64" s="3">
        <v>2</v>
      </c>
      <c r="J64" s="3">
        <v>615</v>
      </c>
      <c r="K64" s="6">
        <v>0.39</v>
      </c>
      <c r="L64" s="3" t="str">
        <f t="shared" ca="1" si="2"/>
        <v>Offline</v>
      </c>
      <c r="M64" s="7">
        <f t="shared" si="3"/>
        <v>1525.3</v>
      </c>
    </row>
    <row r="65" spans="1:13" x14ac:dyDescent="0.3">
      <c r="A65" s="3" t="s">
        <v>153</v>
      </c>
      <c r="B65" s="4" t="s">
        <v>154</v>
      </c>
      <c r="C65" s="3" t="s">
        <v>28</v>
      </c>
      <c r="D65" s="3">
        <v>51</v>
      </c>
      <c r="E65" s="3">
        <v>1.1299999999999999</v>
      </c>
      <c r="F65" s="3">
        <v>4.3</v>
      </c>
      <c r="G65" s="5">
        <v>46226</v>
      </c>
      <c r="H65" s="3" t="s">
        <v>17</v>
      </c>
      <c r="I65" s="3">
        <v>4</v>
      </c>
      <c r="J65" s="3">
        <v>143</v>
      </c>
      <c r="K65" s="6">
        <v>0.61</v>
      </c>
      <c r="L65" s="3" t="str">
        <f t="shared" ca="1" si="2"/>
        <v>Offline</v>
      </c>
      <c r="M65" s="7">
        <f t="shared" si="3"/>
        <v>1842.3</v>
      </c>
    </row>
    <row r="66" spans="1:13" x14ac:dyDescent="0.3">
      <c r="A66" s="3" t="s">
        <v>155</v>
      </c>
      <c r="B66" s="4" t="s">
        <v>156</v>
      </c>
      <c r="C66" s="3" t="s">
        <v>20</v>
      </c>
      <c r="D66" s="3">
        <v>27</v>
      </c>
      <c r="E66" s="3">
        <v>1.46</v>
      </c>
      <c r="F66" s="3">
        <v>2.9</v>
      </c>
      <c r="G66" s="5">
        <v>46231</v>
      </c>
      <c r="H66" s="3" t="s">
        <v>17</v>
      </c>
      <c r="I66" s="3">
        <v>1</v>
      </c>
      <c r="J66" s="3">
        <v>798</v>
      </c>
      <c r="K66" s="6">
        <v>0.54</v>
      </c>
      <c r="L66" s="3" t="str">
        <f t="shared" ref="L66:L101" ca="1" si="4">IF(RAND()&lt;0.55,"Online","Offline")</f>
        <v>Online</v>
      </c>
      <c r="M66" s="7">
        <f t="shared" ref="M66:M101" si="5">INDEX($Q$2:$Q$7,MATCH(C66,$P$2:$P$7,0))+(D66*4)+(E66*60)+((F66-3)*30)+(K66*150)+(I66*10)</f>
        <v>1283.5999999999999</v>
      </c>
    </row>
    <row r="67" spans="1:13" x14ac:dyDescent="0.3">
      <c r="A67" s="3" t="s">
        <v>157</v>
      </c>
      <c r="B67" s="4" t="s">
        <v>158</v>
      </c>
      <c r="C67" s="3" t="s">
        <v>20</v>
      </c>
      <c r="D67" s="3">
        <v>13</v>
      </c>
      <c r="E67" s="3">
        <v>1.1000000000000001</v>
      </c>
      <c r="F67" s="3">
        <v>2.7</v>
      </c>
      <c r="G67" s="5">
        <v>46225</v>
      </c>
      <c r="H67" s="3" t="s">
        <v>27</v>
      </c>
      <c r="I67" s="3">
        <v>1</v>
      </c>
      <c r="J67" s="3">
        <v>66</v>
      </c>
      <c r="K67" s="6">
        <v>0.36</v>
      </c>
      <c r="L67" s="3" t="str">
        <f t="shared" ca="1" si="4"/>
        <v>Online</v>
      </c>
      <c r="M67" s="7">
        <f t="shared" si="5"/>
        <v>1173</v>
      </c>
    </row>
    <row r="68" spans="1:13" x14ac:dyDescent="0.3">
      <c r="A68" s="3" t="s">
        <v>159</v>
      </c>
      <c r="B68" s="4" t="s">
        <v>160</v>
      </c>
      <c r="C68" s="3" t="s">
        <v>20</v>
      </c>
      <c r="D68" s="3">
        <v>14</v>
      </c>
      <c r="E68" s="3">
        <v>0.56999999999999995</v>
      </c>
      <c r="F68" s="3">
        <v>2.4</v>
      </c>
      <c r="G68" s="5">
        <v>46234</v>
      </c>
      <c r="H68" s="3" t="s">
        <v>27</v>
      </c>
      <c r="I68" s="3">
        <v>1</v>
      </c>
      <c r="J68" s="3">
        <v>368</v>
      </c>
      <c r="K68" s="6">
        <v>0.52</v>
      </c>
      <c r="L68" s="3" t="str">
        <f t="shared" ca="1" si="4"/>
        <v>Offline</v>
      </c>
      <c r="M68" s="7">
        <f t="shared" si="5"/>
        <v>1160.2</v>
      </c>
    </row>
    <row r="69" spans="1:13" x14ac:dyDescent="0.3">
      <c r="A69" s="3" t="s">
        <v>161</v>
      </c>
      <c r="B69" s="4" t="s">
        <v>162</v>
      </c>
      <c r="C69" s="3" t="s">
        <v>20</v>
      </c>
      <c r="D69" s="3">
        <v>12</v>
      </c>
      <c r="E69" s="3">
        <v>0.84</v>
      </c>
      <c r="F69" s="3">
        <v>3.4</v>
      </c>
      <c r="G69" s="5">
        <v>46214</v>
      </c>
      <c r="H69" s="3" t="s">
        <v>27</v>
      </c>
      <c r="I69" s="3">
        <v>3</v>
      </c>
      <c r="J69" s="3">
        <v>331</v>
      </c>
      <c r="K69" s="6">
        <v>0.51</v>
      </c>
      <c r="L69" s="3" t="str">
        <f t="shared" ca="1" si="4"/>
        <v>Online</v>
      </c>
      <c r="M69" s="7">
        <f t="shared" si="5"/>
        <v>1216.9000000000001</v>
      </c>
    </row>
    <row r="70" spans="1:13" x14ac:dyDescent="0.3">
      <c r="A70" s="3" t="s">
        <v>163</v>
      </c>
      <c r="B70" s="4" t="s">
        <v>164</v>
      </c>
      <c r="C70" s="3" t="s">
        <v>20</v>
      </c>
      <c r="D70" s="3">
        <v>23</v>
      </c>
      <c r="E70" s="3">
        <v>0.46</v>
      </c>
      <c r="F70" s="3">
        <v>2.5</v>
      </c>
      <c r="G70" s="5">
        <v>46230</v>
      </c>
      <c r="H70" s="3" t="s">
        <v>27</v>
      </c>
      <c r="I70" s="3">
        <v>0</v>
      </c>
      <c r="J70" s="3">
        <v>622</v>
      </c>
      <c r="K70" s="6">
        <v>0.44</v>
      </c>
      <c r="L70" s="3" t="str">
        <f t="shared" ca="1" si="4"/>
        <v>Online</v>
      </c>
      <c r="M70" s="7">
        <f t="shared" si="5"/>
        <v>1170.5999999999999</v>
      </c>
    </row>
    <row r="71" spans="1:13" x14ac:dyDescent="0.3">
      <c r="A71" s="3" t="s">
        <v>165</v>
      </c>
      <c r="B71" s="4" t="s">
        <v>166</v>
      </c>
      <c r="C71" s="3" t="s">
        <v>28</v>
      </c>
      <c r="D71" s="3">
        <v>41</v>
      </c>
      <c r="E71" s="3">
        <v>1.21</v>
      </c>
      <c r="F71" s="3">
        <v>3</v>
      </c>
      <c r="G71" s="5">
        <v>46193</v>
      </c>
      <c r="H71" s="3" t="s">
        <v>27</v>
      </c>
      <c r="I71" s="3">
        <v>5</v>
      </c>
      <c r="J71" s="3">
        <v>180</v>
      </c>
      <c r="K71" s="6">
        <v>0.67</v>
      </c>
      <c r="L71" s="3" t="str">
        <f t="shared" ca="1" si="4"/>
        <v>Online</v>
      </c>
      <c r="M71" s="7">
        <f t="shared" si="5"/>
        <v>1787.1</v>
      </c>
    </row>
    <row r="72" spans="1:13" x14ac:dyDescent="0.3">
      <c r="A72" s="3" t="s">
        <v>167</v>
      </c>
      <c r="B72" s="4" t="s">
        <v>168</v>
      </c>
      <c r="C72" s="3" t="s">
        <v>28</v>
      </c>
      <c r="D72" s="3">
        <v>45</v>
      </c>
      <c r="E72" s="3">
        <v>2.0299999999999998</v>
      </c>
      <c r="F72" s="3">
        <v>3.8</v>
      </c>
      <c r="G72" s="5">
        <v>46216</v>
      </c>
      <c r="H72" s="3" t="s">
        <v>27</v>
      </c>
      <c r="I72" s="3">
        <v>4</v>
      </c>
      <c r="J72" s="3">
        <v>739</v>
      </c>
      <c r="K72" s="6">
        <v>0.69</v>
      </c>
      <c r="L72" s="3" t="str">
        <f t="shared" ca="1" si="4"/>
        <v>Offline</v>
      </c>
      <c r="M72" s="7">
        <f t="shared" si="5"/>
        <v>1869.3</v>
      </c>
    </row>
    <row r="73" spans="1:13" x14ac:dyDescent="0.3">
      <c r="A73" s="3" t="s">
        <v>169</v>
      </c>
      <c r="B73" s="4" t="s">
        <v>170</v>
      </c>
      <c r="C73" s="3" t="s">
        <v>28</v>
      </c>
      <c r="D73" s="3">
        <v>48</v>
      </c>
      <c r="E73" s="3">
        <v>1.77</v>
      </c>
      <c r="F73" s="3">
        <v>2.8</v>
      </c>
      <c r="G73" s="5">
        <v>46213</v>
      </c>
      <c r="H73" s="3" t="s">
        <v>17</v>
      </c>
      <c r="I73" s="3">
        <v>2</v>
      </c>
      <c r="J73" s="3">
        <v>683</v>
      </c>
      <c r="K73" s="6">
        <v>0.59</v>
      </c>
      <c r="L73" s="3" t="str">
        <f t="shared" ca="1" si="4"/>
        <v>Online</v>
      </c>
      <c r="M73" s="7">
        <f t="shared" si="5"/>
        <v>1800.7</v>
      </c>
    </row>
    <row r="74" spans="1:13" x14ac:dyDescent="0.3">
      <c r="A74" s="3" t="s">
        <v>171</v>
      </c>
      <c r="B74" s="4" t="s">
        <v>172</v>
      </c>
      <c r="C74" s="3" t="s">
        <v>23</v>
      </c>
      <c r="D74" s="3">
        <v>57</v>
      </c>
      <c r="E74" s="3">
        <v>2.58</v>
      </c>
      <c r="F74" s="3">
        <v>4.5</v>
      </c>
      <c r="G74" s="5">
        <v>46216</v>
      </c>
      <c r="H74" s="3" t="s">
        <v>17</v>
      </c>
      <c r="I74" s="3">
        <v>7</v>
      </c>
      <c r="J74" s="3">
        <v>499</v>
      </c>
      <c r="K74" s="6">
        <v>0.54</v>
      </c>
      <c r="L74" s="3" t="str">
        <f t="shared" ca="1" si="4"/>
        <v>Online</v>
      </c>
      <c r="M74" s="7">
        <f t="shared" si="5"/>
        <v>2228.8000000000002</v>
      </c>
    </row>
    <row r="75" spans="1:13" x14ac:dyDescent="0.3">
      <c r="A75" s="3" t="s">
        <v>173</v>
      </c>
      <c r="B75" s="4" t="s">
        <v>174</v>
      </c>
      <c r="C75" s="3" t="s">
        <v>28</v>
      </c>
      <c r="D75" s="3">
        <v>48</v>
      </c>
      <c r="E75" s="3">
        <v>1.24</v>
      </c>
      <c r="F75" s="3">
        <v>3.7</v>
      </c>
      <c r="G75" s="5">
        <v>46235</v>
      </c>
      <c r="H75" s="3" t="s">
        <v>27</v>
      </c>
      <c r="I75" s="3">
        <v>2</v>
      </c>
      <c r="J75" s="3">
        <v>276</v>
      </c>
      <c r="K75" s="6">
        <v>0.56999999999999995</v>
      </c>
      <c r="L75" s="3" t="str">
        <f t="shared" ca="1" si="4"/>
        <v>Online</v>
      </c>
      <c r="M75" s="7">
        <f t="shared" si="5"/>
        <v>1792.9</v>
      </c>
    </row>
    <row r="76" spans="1:13" x14ac:dyDescent="0.3">
      <c r="A76" s="3" t="s">
        <v>175</v>
      </c>
      <c r="B76" s="4" t="s">
        <v>176</v>
      </c>
      <c r="C76" s="3" t="s">
        <v>23</v>
      </c>
      <c r="D76" s="3">
        <v>73</v>
      </c>
      <c r="E76" s="3">
        <v>1.94</v>
      </c>
      <c r="F76" s="3">
        <v>3.9</v>
      </c>
      <c r="G76" s="5">
        <v>46207</v>
      </c>
      <c r="H76" s="3" t="s">
        <v>17</v>
      </c>
      <c r="I76" s="3">
        <v>2</v>
      </c>
      <c r="J76" s="3">
        <v>199</v>
      </c>
      <c r="K76" s="6">
        <v>0.51</v>
      </c>
      <c r="L76" s="3" t="str">
        <f t="shared" ca="1" si="4"/>
        <v>Online</v>
      </c>
      <c r="M76" s="7">
        <f t="shared" si="5"/>
        <v>2181.9</v>
      </c>
    </row>
    <row r="77" spans="1:13" x14ac:dyDescent="0.3">
      <c r="A77" s="3" t="s">
        <v>177</v>
      </c>
      <c r="B77" s="4" t="s">
        <v>178</v>
      </c>
      <c r="C77" s="3" t="s">
        <v>28</v>
      </c>
      <c r="D77" s="3">
        <v>48</v>
      </c>
      <c r="E77" s="3">
        <v>1.84</v>
      </c>
      <c r="F77" s="3">
        <v>4.5999999999999996</v>
      </c>
      <c r="G77" s="5">
        <v>46214</v>
      </c>
      <c r="H77" s="3" t="s">
        <v>27</v>
      </c>
      <c r="I77" s="3">
        <v>6</v>
      </c>
      <c r="J77" s="3">
        <v>361</v>
      </c>
      <c r="K77" s="6">
        <v>0.57999999999999996</v>
      </c>
      <c r="L77" s="3" t="str">
        <f t="shared" ca="1" si="4"/>
        <v>Online</v>
      </c>
      <c r="M77" s="7">
        <f t="shared" si="5"/>
        <v>1897.4</v>
      </c>
    </row>
    <row r="78" spans="1:13" x14ac:dyDescent="0.3">
      <c r="A78" s="3" t="s">
        <v>179</v>
      </c>
      <c r="B78" s="4" t="s">
        <v>180</v>
      </c>
      <c r="C78" s="3" t="s">
        <v>20</v>
      </c>
      <c r="D78" s="3">
        <v>15</v>
      </c>
      <c r="E78" s="3">
        <v>0.69</v>
      </c>
      <c r="F78" s="3">
        <v>4.2</v>
      </c>
      <c r="G78" s="5">
        <v>46228</v>
      </c>
      <c r="H78" s="3" t="s">
        <v>17</v>
      </c>
      <c r="I78" s="3">
        <v>2</v>
      </c>
      <c r="J78" s="3">
        <v>485</v>
      </c>
      <c r="K78" s="6">
        <v>0.28999999999999998</v>
      </c>
      <c r="L78" s="3" t="str">
        <f t="shared" ca="1" si="4"/>
        <v>Online</v>
      </c>
      <c r="M78" s="7">
        <f t="shared" si="5"/>
        <v>1200.9000000000001</v>
      </c>
    </row>
    <row r="79" spans="1:13" x14ac:dyDescent="0.3">
      <c r="A79" s="3" t="s">
        <v>181</v>
      </c>
      <c r="B79" s="4" t="s">
        <v>182</v>
      </c>
      <c r="C79" s="3" t="s">
        <v>20</v>
      </c>
      <c r="D79" s="3">
        <v>13</v>
      </c>
      <c r="E79" s="3">
        <v>1.3</v>
      </c>
      <c r="F79" s="3">
        <v>3.1</v>
      </c>
      <c r="G79" s="5">
        <v>46220</v>
      </c>
      <c r="H79" s="3" t="s">
        <v>17</v>
      </c>
      <c r="I79" s="3">
        <v>0</v>
      </c>
      <c r="J79" s="3">
        <v>443</v>
      </c>
      <c r="K79" s="6">
        <v>0.31</v>
      </c>
      <c r="L79" s="3" t="str">
        <f t="shared" ca="1" si="4"/>
        <v>Online</v>
      </c>
      <c r="M79" s="7">
        <f t="shared" si="5"/>
        <v>1179.5</v>
      </c>
    </row>
    <row r="80" spans="1:13" x14ac:dyDescent="0.3">
      <c r="A80" s="3" t="s">
        <v>183</v>
      </c>
      <c r="B80" s="4" t="s">
        <v>184</v>
      </c>
      <c r="C80" s="3" t="s">
        <v>24</v>
      </c>
      <c r="D80" s="3">
        <v>44</v>
      </c>
      <c r="E80" s="3">
        <v>1.32</v>
      </c>
      <c r="F80" s="3">
        <v>2.5</v>
      </c>
      <c r="G80" s="5">
        <v>46208</v>
      </c>
      <c r="H80" s="3" t="s">
        <v>27</v>
      </c>
      <c r="I80" s="3">
        <v>0</v>
      </c>
      <c r="J80" s="3">
        <v>468</v>
      </c>
      <c r="K80" s="6">
        <v>0.4</v>
      </c>
      <c r="L80" s="3" t="str">
        <f t="shared" ca="1" si="4"/>
        <v>Online</v>
      </c>
      <c r="M80" s="7">
        <f t="shared" si="5"/>
        <v>1500.2</v>
      </c>
    </row>
    <row r="81" spans="1:13" x14ac:dyDescent="0.3">
      <c r="A81" s="3" t="s">
        <v>185</v>
      </c>
      <c r="B81" s="4" t="s">
        <v>186</v>
      </c>
      <c r="C81" s="3" t="s">
        <v>20</v>
      </c>
      <c r="D81" s="3">
        <v>30</v>
      </c>
      <c r="E81" s="3">
        <v>0.75</v>
      </c>
      <c r="F81" s="3">
        <v>2.9</v>
      </c>
      <c r="G81" s="5">
        <v>46232</v>
      </c>
      <c r="H81" s="3" t="s">
        <v>27</v>
      </c>
      <c r="I81" s="3">
        <v>0</v>
      </c>
      <c r="J81" s="3">
        <v>136</v>
      </c>
      <c r="K81" s="6">
        <v>0.4</v>
      </c>
      <c r="L81" s="3" t="str">
        <f t="shared" ca="1" si="4"/>
        <v>Offline</v>
      </c>
      <c r="M81" s="7">
        <f t="shared" si="5"/>
        <v>1222</v>
      </c>
    </row>
    <row r="82" spans="1:13" x14ac:dyDescent="0.3">
      <c r="A82" s="3" t="s">
        <v>187</v>
      </c>
      <c r="B82" s="4" t="s">
        <v>188</v>
      </c>
      <c r="C82" s="3" t="s">
        <v>28</v>
      </c>
      <c r="D82" s="3">
        <v>44</v>
      </c>
      <c r="E82" s="3">
        <v>1.0900000000000001</v>
      </c>
      <c r="F82" s="3">
        <v>3.8</v>
      </c>
      <c r="G82" s="5">
        <v>46220</v>
      </c>
      <c r="H82" s="3" t="s">
        <v>27</v>
      </c>
      <c r="I82" s="3">
        <v>7</v>
      </c>
      <c r="J82" s="3">
        <v>269</v>
      </c>
      <c r="K82" s="6">
        <v>0.28999999999999998</v>
      </c>
      <c r="L82" s="3" t="str">
        <f t="shared" ca="1" si="4"/>
        <v>Online</v>
      </c>
      <c r="M82" s="7">
        <f t="shared" si="5"/>
        <v>1778.9</v>
      </c>
    </row>
    <row r="83" spans="1:13" x14ac:dyDescent="0.3">
      <c r="A83" s="3" t="s">
        <v>189</v>
      </c>
      <c r="B83" s="4" t="s">
        <v>190</v>
      </c>
      <c r="C83" s="3" t="s">
        <v>20</v>
      </c>
      <c r="D83" s="3">
        <v>16</v>
      </c>
      <c r="E83" s="3">
        <v>1.32</v>
      </c>
      <c r="F83" s="3">
        <v>2.9</v>
      </c>
      <c r="G83" s="5">
        <v>46199</v>
      </c>
      <c r="H83" s="3" t="s">
        <v>17</v>
      </c>
      <c r="I83" s="3">
        <v>0</v>
      </c>
      <c r="J83" s="3">
        <v>444</v>
      </c>
      <c r="K83" s="6">
        <v>0.57999999999999996</v>
      </c>
      <c r="L83" s="3" t="str">
        <f t="shared" ca="1" si="4"/>
        <v>Online</v>
      </c>
      <c r="M83" s="7">
        <f t="shared" si="5"/>
        <v>1227.2</v>
      </c>
    </row>
    <row r="84" spans="1:13" x14ac:dyDescent="0.3">
      <c r="A84" s="3" t="s">
        <v>191</v>
      </c>
      <c r="B84" s="4" t="s">
        <v>192</v>
      </c>
      <c r="C84" s="3" t="s">
        <v>20</v>
      </c>
      <c r="D84" s="3">
        <v>10</v>
      </c>
      <c r="E84" s="3">
        <v>0.89</v>
      </c>
      <c r="F84" s="3">
        <v>3.8</v>
      </c>
      <c r="G84" s="5">
        <v>46216</v>
      </c>
      <c r="H84" s="3" t="s">
        <v>17</v>
      </c>
      <c r="I84" s="3">
        <v>0</v>
      </c>
      <c r="J84" s="3">
        <v>571</v>
      </c>
      <c r="K84" s="6">
        <v>0.41</v>
      </c>
      <c r="L84" s="3" t="str">
        <f t="shared" ca="1" si="4"/>
        <v>Online</v>
      </c>
      <c r="M84" s="7">
        <f t="shared" si="5"/>
        <v>1178.9000000000001</v>
      </c>
    </row>
    <row r="85" spans="1:13" x14ac:dyDescent="0.3">
      <c r="A85" s="3" t="s">
        <v>193</v>
      </c>
      <c r="B85" s="4" t="s">
        <v>194</v>
      </c>
      <c r="C85" s="3" t="s">
        <v>24</v>
      </c>
      <c r="D85" s="3">
        <v>49</v>
      </c>
      <c r="E85" s="3">
        <v>0.93</v>
      </c>
      <c r="F85" s="3">
        <v>3.3</v>
      </c>
      <c r="G85" s="5">
        <v>46227</v>
      </c>
      <c r="H85" s="3" t="s">
        <v>27</v>
      </c>
      <c r="I85" s="3">
        <v>2</v>
      </c>
      <c r="J85" s="3">
        <v>259</v>
      </c>
      <c r="K85" s="6">
        <v>0.35</v>
      </c>
      <c r="L85" s="3" t="str">
        <f t="shared" ca="1" si="4"/>
        <v>Offline</v>
      </c>
      <c r="M85" s="7">
        <f t="shared" si="5"/>
        <v>1533.3</v>
      </c>
    </row>
    <row r="86" spans="1:13" x14ac:dyDescent="0.3">
      <c r="A86" s="3" t="s">
        <v>195</v>
      </c>
      <c r="B86" s="4" t="s">
        <v>196</v>
      </c>
      <c r="C86" s="3" t="s">
        <v>24</v>
      </c>
      <c r="D86" s="3">
        <v>40</v>
      </c>
      <c r="E86" s="3">
        <v>1.1200000000000001</v>
      </c>
      <c r="F86" s="3">
        <v>2.2999999999999998</v>
      </c>
      <c r="G86" s="5">
        <v>46225</v>
      </c>
      <c r="H86" s="3" t="s">
        <v>17</v>
      </c>
      <c r="I86" s="3">
        <v>5</v>
      </c>
      <c r="J86" s="3">
        <v>527</v>
      </c>
      <c r="K86" s="6">
        <v>0.22</v>
      </c>
      <c r="L86" s="3" t="str">
        <f t="shared" ca="1" si="4"/>
        <v>Offline</v>
      </c>
      <c r="M86" s="7">
        <f t="shared" si="5"/>
        <v>1489.2</v>
      </c>
    </row>
    <row r="87" spans="1:13" x14ac:dyDescent="0.3">
      <c r="A87" s="3" t="s">
        <v>197</v>
      </c>
      <c r="B87" s="4" t="s">
        <v>198</v>
      </c>
      <c r="C87" s="3" t="s">
        <v>24</v>
      </c>
      <c r="D87" s="3">
        <v>43</v>
      </c>
      <c r="E87" s="3">
        <v>1.22</v>
      </c>
      <c r="F87" s="3">
        <v>3.8</v>
      </c>
      <c r="G87" s="5">
        <v>46202</v>
      </c>
      <c r="H87" s="3" t="s">
        <v>27</v>
      </c>
      <c r="I87" s="3">
        <v>3</v>
      </c>
      <c r="J87" s="3">
        <v>167</v>
      </c>
      <c r="K87" s="6">
        <v>0.46</v>
      </c>
      <c r="L87" s="3" t="str">
        <f t="shared" ca="1" si="4"/>
        <v>Offline</v>
      </c>
      <c r="M87" s="7">
        <f t="shared" si="5"/>
        <v>1568.2</v>
      </c>
    </row>
    <row r="88" spans="1:13" x14ac:dyDescent="0.3">
      <c r="A88" s="3" t="s">
        <v>199</v>
      </c>
      <c r="B88" s="4" t="s">
        <v>200</v>
      </c>
      <c r="C88" s="3" t="s">
        <v>33</v>
      </c>
      <c r="D88" s="3">
        <v>77</v>
      </c>
      <c r="E88" s="3">
        <v>1.44</v>
      </c>
      <c r="F88" s="3">
        <v>4.5999999999999996</v>
      </c>
      <c r="G88" s="5">
        <v>46226</v>
      </c>
      <c r="H88" s="3" t="s">
        <v>17</v>
      </c>
      <c r="I88" s="3">
        <v>5</v>
      </c>
      <c r="J88" s="3">
        <v>710</v>
      </c>
      <c r="K88" s="6">
        <v>0.49</v>
      </c>
      <c r="L88" s="3" t="str">
        <f t="shared" ca="1" si="4"/>
        <v>Offline</v>
      </c>
      <c r="M88" s="7">
        <f t="shared" si="5"/>
        <v>2465.9</v>
      </c>
    </row>
    <row r="89" spans="1:13" x14ac:dyDescent="0.3">
      <c r="A89" s="3" t="s">
        <v>201</v>
      </c>
      <c r="B89" s="4" t="s">
        <v>202</v>
      </c>
      <c r="C89" s="3" t="s">
        <v>33</v>
      </c>
      <c r="D89" s="3">
        <v>95</v>
      </c>
      <c r="E89" s="3">
        <v>2.23</v>
      </c>
      <c r="F89" s="3">
        <v>3.1</v>
      </c>
      <c r="G89" s="5">
        <v>46200</v>
      </c>
      <c r="H89" s="3" t="s">
        <v>27</v>
      </c>
      <c r="I89" s="3">
        <v>10</v>
      </c>
      <c r="J89" s="3">
        <v>314</v>
      </c>
      <c r="K89" s="6">
        <v>0.71</v>
      </c>
      <c r="L89" s="3" t="str">
        <f t="shared" ca="1" si="4"/>
        <v>Online</v>
      </c>
      <c r="M89" s="7">
        <f t="shared" si="5"/>
        <v>2623.3</v>
      </c>
    </row>
    <row r="90" spans="1:13" x14ac:dyDescent="0.3">
      <c r="A90" s="3" t="s">
        <v>203</v>
      </c>
      <c r="B90" s="4" t="s">
        <v>204</v>
      </c>
      <c r="C90" s="3" t="s">
        <v>16</v>
      </c>
      <c r="D90" s="3">
        <v>2</v>
      </c>
      <c r="E90" s="3">
        <v>0.64</v>
      </c>
      <c r="F90" s="3">
        <v>1.9</v>
      </c>
      <c r="G90" s="5">
        <v>46234</v>
      </c>
      <c r="H90" s="3" t="s">
        <v>27</v>
      </c>
      <c r="I90" s="3">
        <v>0</v>
      </c>
      <c r="J90" s="3">
        <v>352</v>
      </c>
      <c r="K90" s="6">
        <v>0.37</v>
      </c>
      <c r="L90" s="3" t="str">
        <f t="shared" ca="1" si="4"/>
        <v>Online</v>
      </c>
      <c r="M90" s="7">
        <f t="shared" si="5"/>
        <v>868.9</v>
      </c>
    </row>
    <row r="91" spans="1:13" x14ac:dyDescent="0.3">
      <c r="A91" s="3" t="s">
        <v>205</v>
      </c>
      <c r="B91" s="4" t="s">
        <v>206</v>
      </c>
      <c r="C91" s="3" t="s">
        <v>24</v>
      </c>
      <c r="D91" s="3">
        <v>38</v>
      </c>
      <c r="E91" s="3">
        <v>1.56</v>
      </c>
      <c r="F91" s="3">
        <v>4.2</v>
      </c>
      <c r="G91" s="5">
        <v>46217</v>
      </c>
      <c r="H91" s="3" t="s">
        <v>17</v>
      </c>
      <c r="I91" s="3">
        <v>3</v>
      </c>
      <c r="J91" s="3">
        <v>411</v>
      </c>
      <c r="K91" s="6">
        <v>0.51</v>
      </c>
      <c r="L91" s="3" t="str">
        <f t="shared" ca="1" si="4"/>
        <v>Offline</v>
      </c>
      <c r="M91" s="7">
        <f t="shared" si="5"/>
        <v>1588.1</v>
      </c>
    </row>
    <row r="92" spans="1:13" x14ac:dyDescent="0.3">
      <c r="A92" s="3" t="s">
        <v>207</v>
      </c>
      <c r="B92" s="4" t="s">
        <v>208</v>
      </c>
      <c r="C92" s="3" t="s">
        <v>20</v>
      </c>
      <c r="D92" s="3">
        <v>28</v>
      </c>
      <c r="E92" s="3">
        <v>1.19</v>
      </c>
      <c r="F92" s="3">
        <v>3.9</v>
      </c>
      <c r="G92" s="5">
        <v>46229</v>
      </c>
      <c r="H92" s="3" t="s">
        <v>27</v>
      </c>
      <c r="I92" s="3">
        <v>5</v>
      </c>
      <c r="J92" s="3">
        <v>314</v>
      </c>
      <c r="K92" s="6">
        <v>0.42</v>
      </c>
      <c r="L92" s="3" t="str">
        <f t="shared" ca="1" si="4"/>
        <v>Offline</v>
      </c>
      <c r="M92" s="7">
        <f t="shared" si="5"/>
        <v>1323.4</v>
      </c>
    </row>
    <row r="93" spans="1:13" x14ac:dyDescent="0.3">
      <c r="A93" s="3" t="s">
        <v>209</v>
      </c>
      <c r="B93" s="4" t="s">
        <v>210</v>
      </c>
      <c r="C93" s="3" t="s">
        <v>20</v>
      </c>
      <c r="D93" s="3">
        <v>24</v>
      </c>
      <c r="E93" s="3">
        <v>1.93</v>
      </c>
      <c r="F93" s="3">
        <v>2.5</v>
      </c>
      <c r="G93" s="5">
        <v>46228</v>
      </c>
      <c r="H93" s="3" t="s">
        <v>17</v>
      </c>
      <c r="I93" s="3">
        <v>0</v>
      </c>
      <c r="J93" s="3">
        <v>329</v>
      </c>
      <c r="K93" s="6">
        <v>0.31</v>
      </c>
      <c r="L93" s="3" t="str">
        <f t="shared" ca="1" si="4"/>
        <v>Online</v>
      </c>
      <c r="M93" s="7">
        <f t="shared" si="5"/>
        <v>1243.3</v>
      </c>
    </row>
    <row r="94" spans="1:13" x14ac:dyDescent="0.3">
      <c r="A94" s="3" t="s">
        <v>211</v>
      </c>
      <c r="B94" s="4" t="s">
        <v>212</v>
      </c>
      <c r="C94" s="3" t="s">
        <v>23</v>
      </c>
      <c r="D94" s="3">
        <v>58</v>
      </c>
      <c r="E94" s="3">
        <v>2.04</v>
      </c>
      <c r="F94" s="3">
        <v>4.9000000000000004</v>
      </c>
      <c r="G94" s="5">
        <v>46217</v>
      </c>
      <c r="H94" s="3" t="s">
        <v>17</v>
      </c>
      <c r="I94" s="3">
        <v>4</v>
      </c>
      <c r="J94" s="3">
        <v>694</v>
      </c>
      <c r="K94" s="6">
        <v>0.86</v>
      </c>
      <c r="L94" s="3" t="str">
        <f t="shared" ca="1" si="4"/>
        <v>Online</v>
      </c>
      <c r="M94" s="7">
        <f t="shared" si="5"/>
        <v>2230.4</v>
      </c>
    </row>
    <row r="95" spans="1:13" x14ac:dyDescent="0.3">
      <c r="A95" s="3" t="s">
        <v>213</v>
      </c>
      <c r="B95" s="4" t="s">
        <v>214</v>
      </c>
      <c r="C95" s="3" t="s">
        <v>16</v>
      </c>
      <c r="D95" s="3">
        <v>14</v>
      </c>
      <c r="E95" s="3">
        <v>0.37</v>
      </c>
      <c r="F95" s="3">
        <v>1.9</v>
      </c>
      <c r="G95" s="5">
        <v>46236</v>
      </c>
      <c r="H95" s="3" t="s">
        <v>27</v>
      </c>
      <c r="I95" s="3">
        <v>0</v>
      </c>
      <c r="J95" s="3">
        <v>313</v>
      </c>
      <c r="K95" s="6">
        <v>0.35</v>
      </c>
      <c r="L95" s="3" t="str">
        <f t="shared" ca="1" si="4"/>
        <v>Online</v>
      </c>
      <c r="M95" s="7">
        <f t="shared" si="5"/>
        <v>897.7</v>
      </c>
    </row>
    <row r="96" spans="1:13" x14ac:dyDescent="0.3">
      <c r="A96" s="3" t="s">
        <v>215</v>
      </c>
      <c r="B96" s="4" t="s">
        <v>216</v>
      </c>
      <c r="C96" s="3" t="s">
        <v>23</v>
      </c>
      <c r="D96" s="3">
        <v>62</v>
      </c>
      <c r="E96" s="3">
        <v>1.68</v>
      </c>
      <c r="F96" s="3">
        <v>3.3</v>
      </c>
      <c r="G96" s="5">
        <v>46212</v>
      </c>
      <c r="H96" s="3" t="s">
        <v>17</v>
      </c>
      <c r="I96" s="3">
        <v>3</v>
      </c>
      <c r="J96" s="3">
        <v>663</v>
      </c>
      <c r="K96" s="6">
        <v>0.43</v>
      </c>
      <c r="L96" s="3" t="str">
        <f t="shared" ca="1" si="4"/>
        <v>Online</v>
      </c>
      <c r="M96" s="7">
        <f t="shared" si="5"/>
        <v>2102.3000000000002</v>
      </c>
    </row>
    <row r="97" spans="1:13" x14ac:dyDescent="0.3">
      <c r="A97" s="3" t="s">
        <v>217</v>
      </c>
      <c r="B97" s="4" t="s">
        <v>218</v>
      </c>
      <c r="C97" s="3" t="s">
        <v>28</v>
      </c>
      <c r="D97" s="3">
        <v>49</v>
      </c>
      <c r="E97" s="3">
        <v>1.67</v>
      </c>
      <c r="F97" s="3">
        <v>3.6</v>
      </c>
      <c r="G97" s="5">
        <v>46225</v>
      </c>
      <c r="H97" s="3" t="s">
        <v>27</v>
      </c>
      <c r="I97" s="3">
        <v>5</v>
      </c>
      <c r="J97" s="3">
        <v>445</v>
      </c>
      <c r="K97" s="6">
        <v>0.48</v>
      </c>
      <c r="L97" s="3" t="str">
        <f t="shared" ca="1" si="4"/>
        <v>Online</v>
      </c>
      <c r="M97" s="7">
        <f t="shared" si="5"/>
        <v>1836.2</v>
      </c>
    </row>
    <row r="98" spans="1:13" x14ac:dyDescent="0.3">
      <c r="A98" s="3" t="s">
        <v>219</v>
      </c>
      <c r="B98" s="4" t="s">
        <v>220</v>
      </c>
      <c r="C98" s="3" t="s">
        <v>20</v>
      </c>
      <c r="D98" s="3">
        <v>27</v>
      </c>
      <c r="E98" s="3">
        <v>1.19</v>
      </c>
      <c r="F98" s="3">
        <v>2.8</v>
      </c>
      <c r="G98" s="5">
        <v>46220</v>
      </c>
      <c r="H98" s="3" t="s">
        <v>27</v>
      </c>
      <c r="I98" s="3">
        <v>3</v>
      </c>
      <c r="J98" s="3">
        <v>513</v>
      </c>
      <c r="K98" s="6">
        <v>0.6</v>
      </c>
      <c r="L98" s="3" t="str">
        <f t="shared" ca="1" si="4"/>
        <v>Offline</v>
      </c>
      <c r="M98" s="7">
        <f t="shared" si="5"/>
        <v>1293.4000000000001</v>
      </c>
    </row>
    <row r="99" spans="1:13" x14ac:dyDescent="0.3">
      <c r="A99" s="3" t="s">
        <v>221</v>
      </c>
      <c r="B99" s="4" t="s">
        <v>222</v>
      </c>
      <c r="C99" s="3" t="s">
        <v>23</v>
      </c>
      <c r="D99" s="3">
        <v>80</v>
      </c>
      <c r="E99" s="3">
        <v>2.67</v>
      </c>
      <c r="F99" s="3">
        <v>5</v>
      </c>
      <c r="G99" s="5">
        <v>46233</v>
      </c>
      <c r="H99" s="3" t="s">
        <v>17</v>
      </c>
      <c r="I99" s="3">
        <v>8</v>
      </c>
      <c r="J99" s="3">
        <v>426</v>
      </c>
      <c r="K99" s="6">
        <v>0.47</v>
      </c>
      <c r="L99" s="3" t="str">
        <f t="shared" ca="1" si="4"/>
        <v>Online</v>
      </c>
      <c r="M99" s="7">
        <f t="shared" si="5"/>
        <v>2340.6999999999998</v>
      </c>
    </row>
    <row r="100" spans="1:13" x14ac:dyDescent="0.3">
      <c r="A100" s="3" t="s">
        <v>223</v>
      </c>
      <c r="B100" s="4" t="s">
        <v>224</v>
      </c>
      <c r="C100" s="3" t="s">
        <v>16</v>
      </c>
      <c r="D100" s="3">
        <v>7</v>
      </c>
      <c r="E100" s="3">
        <v>1.03</v>
      </c>
      <c r="F100" s="3">
        <v>3.1</v>
      </c>
      <c r="G100" s="5">
        <v>46222</v>
      </c>
      <c r="H100" s="3" t="s">
        <v>17</v>
      </c>
      <c r="I100" s="3">
        <v>0</v>
      </c>
      <c r="J100" s="3">
        <v>673</v>
      </c>
      <c r="K100" s="6">
        <v>0.23</v>
      </c>
      <c r="L100" s="3" t="str">
        <f t="shared" ca="1" si="4"/>
        <v>Online</v>
      </c>
      <c r="M100" s="7">
        <f t="shared" si="5"/>
        <v>927.3</v>
      </c>
    </row>
    <row r="101" spans="1:13" x14ac:dyDescent="0.3">
      <c r="A101" s="3" t="s">
        <v>225</v>
      </c>
      <c r="B101" s="4" t="s">
        <v>226</v>
      </c>
      <c r="C101" s="3" t="s">
        <v>28</v>
      </c>
      <c r="D101" s="3">
        <v>55</v>
      </c>
      <c r="E101" s="3">
        <v>2.37</v>
      </c>
      <c r="F101" s="3">
        <v>4</v>
      </c>
      <c r="G101" s="5">
        <v>46218</v>
      </c>
      <c r="H101" s="3" t="s">
        <v>17</v>
      </c>
      <c r="I101" s="3">
        <v>4</v>
      </c>
      <c r="J101" s="3">
        <v>495</v>
      </c>
      <c r="K101" s="6">
        <v>0.56999999999999995</v>
      </c>
      <c r="L101" s="3" t="str">
        <f t="shared" ca="1" si="4"/>
        <v>Online</v>
      </c>
      <c r="M101" s="7">
        <f t="shared" si="5"/>
        <v>1917.7</v>
      </c>
    </row>
  </sheetData>
  <dataValidations count="2">
    <dataValidation type="list" sqref="C2:C101" xr:uid="{00000000-0002-0000-0000-000000000000}">
      <formula1>"Bronze,Silver,Gold,Platinum,Diamond,Master"</formula1>
      <formula2>0</formula2>
    </dataValidation>
    <dataValidation type="list" sqref="H2:H101" xr:uid="{00000000-0002-0000-0000-000001000000}">
      <formula1>"Ranked,Unranked"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T.Haneesh</cp:lastModifiedBy>
  <cp:revision>0</cp:revision>
  <dcterms:created xsi:type="dcterms:W3CDTF">2026-08-05T09:14:53Z</dcterms:created>
  <dcterms:modified xsi:type="dcterms:W3CDTF">2026-08-05T09:17:12Z</dcterms:modified>
  <dc:language>en-US</dc:language>
</cp:coreProperties>
</file>